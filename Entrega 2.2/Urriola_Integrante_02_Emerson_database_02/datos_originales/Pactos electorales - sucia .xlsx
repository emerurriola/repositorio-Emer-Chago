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<sst xmlns="http://schemas.openxmlformats.org/spreadsheetml/2006/main" count="2171" uniqueCount="752">
  <si>
    <t>Pacto o partido</t>
  </si>
  <si>
    <t>Sigla</t>
  </si>
  <si>
    <t>Candidatos</t>
  </si>
  <si>
    <t>Votos</t>
  </si>
  <si>
    <t>% Votos</t>
  </si>
  <si>
    <t>N° Diputados</t>
  </si>
  <si>
    <t>% Diputados</t>
  </si>
  <si>
    <t>Año</t>
  </si>
  <si>
    <t>Concertación de Partidos por la Democracia (A)</t>
  </si>
  <si>
    <t>3 499 713</t>
  </si>
  <si>
    <t>51,49 %</t>
  </si>
  <si>
    <t>57,50 %</t>
  </si>
  <si>
    <t>Partido Demócrata Cristiano</t>
  </si>
  <si>
    <t>PDC</t>
  </si>
  <si>
    <t>1 766 347</t>
  </si>
  <si>
    <t>25,99 %</t>
  </si>
  <si>
    <t>31,67 %</t>
  </si>
  <si>
    <t>Partido por la Democracia</t>
  </si>
  <si>
    <t>PPD</t>
  </si>
  <si>
    <t>778 501</t>
  </si>
  <si>
    <t>11,45 %</t>
  </si>
  <si>
    <t>13,33 %</t>
  </si>
  <si>
    <t>Partido Radical</t>
  </si>
  <si>
    <t>PR</t>
  </si>
  <si>
    <t>268 103</t>
  </si>
  <si>
    <t>3,84 %</t>
  </si>
  <si>
    <t>4,17 %</t>
  </si>
  <si>
    <t>Partido Humanista</t>
  </si>
  <si>
    <t>PH</t>
  </si>
  <si>
    <t>52 225</t>
  </si>
  <si>
    <t>0,77 %</t>
  </si>
  <si>
    <t>0,83 %</t>
  </si>
  <si>
    <t>Los Verdes</t>
  </si>
  <si>
    <t>LV</t>
  </si>
  <si>
    <t>14 942</t>
  </si>
  <si>
    <t>0,22 %</t>
  </si>
  <si>
    <t>0,00 %</t>
  </si>
  <si>
    <t>Independientes Lista A</t>
  </si>
  <si>
    <t>ILA</t>
  </si>
  <si>
    <t>619 595</t>
  </si>
  <si>
    <t>9,12 %</t>
  </si>
  <si>
    <t>7,50 %</t>
  </si>
  <si>
    <t>Democracia y Progreso (B)</t>
  </si>
  <si>
    <t>2 323 581</t>
  </si>
  <si>
    <t>34,18 %</t>
  </si>
  <si>
    <t>40,00 %</t>
  </si>
  <si>
    <t>Renovación Nacional</t>
  </si>
  <si>
    <t>RN</t>
  </si>
  <si>
    <t>1 242 432</t>
  </si>
  <si>
    <t>18,28 %</t>
  </si>
  <si>
    <t>24,17 %</t>
  </si>
  <si>
    <t>Unión Demócrata Independiente</t>
  </si>
  <si>
    <t>UDI</t>
  </si>
  <si>
    <t>667 369</t>
  </si>
  <si>
    <t>9,82 %</t>
  </si>
  <si>
    <t>9,17 %</t>
  </si>
  <si>
    <t>Independientes Lista B</t>
  </si>
  <si>
    <t>ILB</t>
  </si>
  <si>
    <t>413 780</t>
  </si>
  <si>
    <t>6,09 %</t>
  </si>
  <si>
    <t>6,67 %</t>
  </si>
  <si>
    <t>Partido del Sur (C)</t>
  </si>
  <si>
    <t>SUR</t>
  </si>
  <si>
    <t>47 387</t>
  </si>
  <si>
    <t>0,70 %</t>
  </si>
  <si>
    <t>Alianza de Centro (D)</t>
  </si>
  <si>
    <t>177 942</t>
  </si>
  <si>
    <t>2,62 %</t>
  </si>
  <si>
    <t>Avanzada Nacional</t>
  </si>
  <si>
    <t>AN</t>
  </si>
  <si>
    <t>57 574</t>
  </si>
  <si>
    <t>0,85 %</t>
  </si>
  <si>
    <t>Democracia Radical</t>
  </si>
  <si>
    <t>DR</t>
  </si>
  <si>
    <t>28 575</t>
  </si>
  <si>
    <t>0,42 %</t>
  </si>
  <si>
    <t>Independientes Lista D</t>
  </si>
  <si>
    <t>ILD</t>
  </si>
  <si>
    <t>91 793</t>
  </si>
  <si>
    <t>1,35 %</t>
  </si>
  <si>
    <t>Liberal-Socialista Chileno (E)</t>
  </si>
  <si>
    <t>206 138</t>
  </si>
  <si>
    <t>3,03 %</t>
  </si>
  <si>
    <t>Partido Liberal</t>
  </si>
  <si>
    <t>PL</t>
  </si>
  <si>
    <t>47 237</t>
  </si>
  <si>
    <t>0,69 %</t>
  </si>
  <si>
    <t>Partido Socialista Chileno</t>
  </si>
  <si>
    <t>PSCH</t>
  </si>
  <si>
    <t>10 398</t>
  </si>
  <si>
    <t>0,15 %</t>
  </si>
  <si>
    <t>Independientes Lista E</t>
  </si>
  <si>
    <t>ILE</t>
  </si>
  <si>
    <t>148 503</t>
  </si>
  <si>
    <t>2,18 %</t>
  </si>
  <si>
    <t>Partido Nacional (F)</t>
  </si>
  <si>
    <t>PN</t>
  </si>
  <si>
    <t>53 819</t>
  </si>
  <si>
    <t>0,79 %</t>
  </si>
  <si>
    <t>Unidad para la Democracia (G)</t>
  </si>
  <si>
    <t>360 601</t>
  </si>
  <si>
    <t>5,31 %</t>
  </si>
  <si>
    <t>1,67 %</t>
  </si>
  <si>
    <t>Partido Amplio de Izquierda Socialista</t>
  </si>
  <si>
    <t>PAIS</t>
  </si>
  <si>
    <t>297 897</t>
  </si>
  <si>
    <t>4,38 %</t>
  </si>
  <si>
    <t>Partido Radical Socialista Democrático</t>
  </si>
  <si>
    <t>PRSD</t>
  </si>
  <si>
    <t>0,02 %</t>
  </si>
  <si>
    <t>Independientes Lista G</t>
  </si>
  <si>
    <t>ILG</t>
  </si>
  <si>
    <t>61 374</t>
  </si>
  <si>
    <t>0,90 %</t>
  </si>
  <si>
    <t>Cand.?</t>
  </si>
  <si>
    <t>%?</t>
  </si>
  <si>
    <t>Dip.?</t>
  </si>
  <si>
    <t>Independientes fuera de pacto</t>
  </si>
  <si>
    <t>Ind</t>
  </si>
  <si>
    <t>127 941</t>
  </si>
  <si>
    <t>1,88 %</t>
  </si>
  <si>
    <t>Partido Humanista (A)</t>
  </si>
  <si>
    <t xml:space="preserve">PH </t>
  </si>
  <si>
    <t>168 597</t>
  </si>
  <si>
    <t>2,91 %</t>
  </si>
  <si>
    <t>Alternativa Democrática de Izquierda (A)</t>
  </si>
  <si>
    <t>430 495</t>
  </si>
  <si>
    <t>6,39 %</t>
  </si>
  <si>
    <t>Unión por Chile (B)</t>
  </si>
  <si>
    <t>2 101 392</t>
  </si>
  <si>
    <t>36,26 %</t>
  </si>
  <si>
    <t>39,17 %</t>
  </si>
  <si>
    <t>Partido Comunista</t>
  </si>
  <si>
    <t>PCCh</t>
  </si>
  <si>
    <t>336 034</t>
  </si>
  <si>
    <t>4,99 %</t>
  </si>
  <si>
    <t>971 903</t>
  </si>
  <si>
    <t>16,77 %</t>
  </si>
  <si>
    <t>19,17 %</t>
  </si>
  <si>
    <t>Movimiento de Acción Popular Unitario</t>
  </si>
  <si>
    <t>MAPU</t>
  </si>
  <si>
    <t>6 644</t>
  </si>
  <si>
    <t>0,10 %</t>
  </si>
  <si>
    <t>837 736</t>
  </si>
  <si>
    <t>14,45 %</t>
  </si>
  <si>
    <t>14,17 %</t>
  </si>
  <si>
    <t>87 817</t>
  </si>
  <si>
    <t>1,30 %</t>
  </si>
  <si>
    <t>Partido del Sur</t>
  </si>
  <si>
    <t>20 813</t>
  </si>
  <si>
    <t>0,36 %</t>
  </si>
  <si>
    <t>Unión por el Progreso de Chile (B)</t>
  </si>
  <si>
    <t>2 471 789</t>
  </si>
  <si>
    <t>36,68 %</t>
  </si>
  <si>
    <t>41,67 %</t>
  </si>
  <si>
    <t>270 940</t>
  </si>
  <si>
    <t>4,67 %</t>
  </si>
  <si>
    <t>5 %</t>
  </si>
  <si>
    <t>1 098 852</t>
  </si>
  <si>
    <t>16,31 %</t>
  </si>
  <si>
    <t>Concertación de Partidos por la Democracia (C)</t>
  </si>
  <si>
    <t>2 927 692</t>
  </si>
  <si>
    <t>50,51 %</t>
  </si>
  <si>
    <t>57,5 %</t>
  </si>
  <si>
    <t>816 104</t>
  </si>
  <si>
    <t>12,11 %</t>
  </si>
  <si>
    <t>12,50 %</t>
  </si>
  <si>
    <t>1 331 745</t>
  </si>
  <si>
    <t>22,98 %</t>
  </si>
  <si>
    <t>Unión de Centro Centro</t>
  </si>
  <si>
    <t>UCC</t>
  </si>
  <si>
    <t>216 639</t>
  </si>
  <si>
    <t>3,21 %</t>
  </si>
  <si>
    <t>727 293</t>
  </si>
  <si>
    <t>12,55 %</t>
  </si>
  <si>
    <t>13 422</t>
  </si>
  <si>
    <t>0,20 %</t>
  </si>
  <si>
    <t>Partido Socialista de Chile</t>
  </si>
  <si>
    <t>PS</t>
  </si>
  <si>
    <t>640 397</t>
  </si>
  <si>
    <t>11,05 %</t>
  </si>
  <si>
    <t>Partido Nacional</t>
  </si>
  <si>
    <t>0,04 %</t>
  </si>
  <si>
    <t>Partido Radical Socialdemócrata</t>
  </si>
  <si>
    <t>181 538</t>
  </si>
  <si>
    <t>3,13 %</t>
  </si>
  <si>
    <t>3,33 %</t>
  </si>
  <si>
    <t>324 084</t>
  </si>
  <si>
    <t>4,81 %</t>
  </si>
  <si>
    <t>Independientes Lista C</t>
  </si>
  <si>
    <t>ILC</t>
  </si>
  <si>
    <t>46 719</t>
  </si>
  <si>
    <t>0,81 %</t>
  </si>
  <si>
    <t>0 %</t>
  </si>
  <si>
    <t>La Nueva Izquierda (C)</t>
  </si>
  <si>
    <t>96 195</t>
  </si>
  <si>
    <t>1,43 %</t>
  </si>
  <si>
    <t>La Izquierda (D)</t>
  </si>
  <si>
    <t>434 148</t>
  </si>
  <si>
    <t>7,49 %</t>
  </si>
  <si>
    <t>Partido Alianza Humanista Verde</t>
  </si>
  <si>
    <t>AHV</t>
  </si>
  <si>
    <t>67 733</t>
  </si>
  <si>
    <t>1,01 %</t>
  </si>
  <si>
    <t>Partido Comunista de Chile</t>
  </si>
  <si>
    <t>398 588</t>
  </si>
  <si>
    <t>6,88 %</t>
  </si>
  <si>
    <t>Movimiento Ecologista</t>
  </si>
  <si>
    <t>ECO</t>
  </si>
  <si>
    <t>0,03 %</t>
  </si>
  <si>
    <t>Nueva Alianza Popular</t>
  </si>
  <si>
    <t>NAP</t>
  </si>
  <si>
    <t>26 247</t>
  </si>
  <si>
    <t>0,39 %</t>
  </si>
  <si>
    <t>26 589</t>
  </si>
  <si>
    <t>0,46 %</t>
  </si>
  <si>
    <t>Concertación de Partidos por la Democracia (D)</t>
  </si>
  <si>
    <t>3 733 276</t>
  </si>
  <si>
    <t>55,40 %</t>
  </si>
  <si>
    <t>58,33 %</t>
  </si>
  <si>
    <t>Chile 2000 (E)</t>
  </si>
  <si>
    <t>123 922</t>
  </si>
  <si>
    <t>2,14 %</t>
  </si>
  <si>
    <t>DC</t>
  </si>
  <si>
    <t>1 827 373</t>
  </si>
  <si>
    <t>27,12 %</t>
  </si>
  <si>
    <t>30,83 %</t>
  </si>
  <si>
    <t>Unión de Centro Centro Progresista</t>
  </si>
  <si>
    <t>UCCP</t>
  </si>
  <si>
    <t>68 822</t>
  </si>
  <si>
    <t>1,19 %</t>
  </si>
  <si>
    <t>803 716</t>
  </si>
  <si>
    <t>11,93 %</t>
  </si>
  <si>
    <t>55 100</t>
  </si>
  <si>
    <t>0,95 %</t>
  </si>
  <si>
    <t>798 206</t>
  </si>
  <si>
    <t>11,84 %</t>
  </si>
  <si>
    <t>40 022</t>
  </si>
  <si>
    <t>200 837</t>
  </si>
  <si>
    <t>2,98 %</t>
  </si>
  <si>
    <t>Partido Socialdemocracia Chilena</t>
  </si>
  <si>
    <t>SDCH</t>
  </si>
  <si>
    <t>53 377</t>
  </si>
  <si>
    <t>49 764</t>
  </si>
  <si>
    <t>0,74 %</t>
  </si>
  <si>
    <t>0,11 %</t>
  </si>
  <si>
    <t>Partido Comunista (A)</t>
  </si>
  <si>
    <t>320 688</t>
  </si>
  <si>
    <t>5,22 %</t>
  </si>
  <si>
    <t>Partido Humanista (C)</t>
  </si>
  <si>
    <t>69 692</t>
  </si>
  <si>
    <t>1,13 %</t>
  </si>
  <si>
    <t>Alianza por Chile (C)</t>
  </si>
  <si>
    <t>2 720 195</t>
  </si>
  <si>
    <t>44,27 %</t>
  </si>
  <si>
    <t>47,5 %</t>
  </si>
  <si>
    <t>1 547 209</t>
  </si>
  <si>
    <t>25,18 %</t>
  </si>
  <si>
    <t>25,83 %</t>
  </si>
  <si>
    <t>845 865</t>
  </si>
  <si>
    <t>13,77 %</t>
  </si>
  <si>
    <t>15,00 %</t>
  </si>
  <si>
    <t>327 121</t>
  </si>
  <si>
    <t>5,32 %</t>
  </si>
  <si>
    <t>Partido Liberal (D)</t>
  </si>
  <si>
    <t>0,06 %</t>
  </si>
  <si>
    <t>Concertación (E)</t>
  </si>
  <si>
    <t>2 942 989</t>
  </si>
  <si>
    <t>47,90 %</t>
  </si>
  <si>
    <t>51,67 %</t>
  </si>
  <si>
    <t>1 162 210</t>
  </si>
  <si>
    <t>18,92 %</t>
  </si>
  <si>
    <t>782 333</t>
  </si>
  <si>
    <t>12,73 %</t>
  </si>
  <si>
    <t>16,67 %</t>
  </si>
  <si>
    <t>Partido Socialista</t>
  </si>
  <si>
    <t>614 434</t>
  </si>
  <si>
    <t>10,00 %</t>
  </si>
  <si>
    <t>8,33 %</t>
  </si>
  <si>
    <t>248 821</t>
  </si>
  <si>
    <t>4,05 %</t>
  </si>
  <si>
    <t>5,00 %</t>
  </si>
  <si>
    <t>135 191</t>
  </si>
  <si>
    <t>2,20 %</t>
  </si>
  <si>
    <t>2,50 %</t>
  </si>
  <si>
    <t>86 964</t>
  </si>
  <si>
    <t>1,42 %</t>
  </si>
  <si>
    <t>Fuerza Regional Independiente (A)</t>
  </si>
  <si>
    <t>FRI</t>
  </si>
  <si>
    <t>77 213</t>
  </si>
  <si>
    <t>1,17 %</t>
  </si>
  <si>
    <t>Alianza Nacional de los Independientes</t>
  </si>
  <si>
    <t>ANI</t>
  </si>
  <si>
    <t>20 191</t>
  </si>
  <si>
    <t>0,31 %</t>
  </si>
  <si>
    <t>Partido de Acción Regionalista</t>
  </si>
  <si>
    <t>PAR</t>
  </si>
  <si>
    <t>26 698</t>
  </si>
  <si>
    <t>0,40 %</t>
  </si>
  <si>
    <t>30 324</t>
  </si>
  <si>
    <t>Concertación Democrática (B)</t>
  </si>
  <si>
    <t>3 417 207</t>
  </si>
  <si>
    <t>51,76 %</t>
  </si>
  <si>
    <t>54,17 %</t>
  </si>
  <si>
    <t>1 370 501</t>
  </si>
  <si>
    <t>20,76 %</t>
  </si>
  <si>
    <t>1 017 956</t>
  </si>
  <si>
    <t>15,42 %</t>
  </si>
  <si>
    <t>17,50 %</t>
  </si>
  <si>
    <t>663 561</t>
  </si>
  <si>
    <t>10,05 %</t>
  </si>
  <si>
    <t>233 564</t>
  </si>
  <si>
    <t>3,54 %</t>
  </si>
  <si>
    <t>5,83 %</t>
  </si>
  <si>
    <t>131 625</t>
  </si>
  <si>
    <t>1,99 %</t>
  </si>
  <si>
    <t>Juntos Podemos Más (C)</t>
  </si>
  <si>
    <t>488 618</t>
  </si>
  <si>
    <t>7,40 %</t>
  </si>
  <si>
    <t>339 547</t>
  </si>
  <si>
    <t>5,14 %</t>
  </si>
  <si>
    <t>102 842</t>
  </si>
  <si>
    <t>1,56 %</t>
  </si>
  <si>
    <t>46 229</t>
  </si>
  <si>
    <t>Alianza (D)</t>
  </si>
  <si>
    <t>2 556 386</t>
  </si>
  <si>
    <t>38,73 %</t>
  </si>
  <si>
    <t>45,00 %</t>
  </si>
  <si>
    <t>932 422</t>
  </si>
  <si>
    <t>14,12 %</t>
  </si>
  <si>
    <t>15,83 %</t>
  </si>
  <si>
    <t>1 475 901</t>
  </si>
  <si>
    <t>22,36 %</t>
  </si>
  <si>
    <t>27,50 %</t>
  </si>
  <si>
    <t>148 063</t>
  </si>
  <si>
    <t>2,24 %</t>
  </si>
  <si>
    <t>62 387</t>
  </si>
  <si>
    <t>Concertación y Juntos Podemos (A)</t>
  </si>
  <si>
    <t>2 934 378</t>
  </si>
  <si>
    <t>44,35 %</t>
  </si>
  <si>
    <t>47,50 %</t>
  </si>
  <si>
    <t>940 265</t>
  </si>
  <si>
    <t>14,21 %</t>
  </si>
  <si>
    <t>839 744</t>
  </si>
  <si>
    <t>12,69 %</t>
  </si>
  <si>
    <t>653 367</t>
  </si>
  <si>
    <t>9,88 %</t>
  </si>
  <si>
    <t>251 456</t>
  </si>
  <si>
    <t>3,80 %</t>
  </si>
  <si>
    <t>133 718</t>
  </si>
  <si>
    <t>2,02 %</t>
  </si>
  <si>
    <t>115 828</t>
  </si>
  <si>
    <t>1,75 %</t>
  </si>
  <si>
    <t>Coalición por el Cambio (B)</t>
  </si>
  <si>
    <t>2 874 674</t>
  </si>
  <si>
    <t>43,45 %</t>
  </si>
  <si>
    <t>48,33 %</t>
  </si>
  <si>
    <t>1 525 000</t>
  </si>
  <si>
    <t>23,05 %</t>
  </si>
  <si>
    <t>1 178 392</t>
  </si>
  <si>
    <t>17,81 %</t>
  </si>
  <si>
    <t>ChilePrimero</t>
  </si>
  <si>
    <t>CH1</t>
  </si>
  <si>
    <t>18 021</t>
  </si>
  <si>
    <t>0,27 %</t>
  </si>
  <si>
    <t>153 261</t>
  </si>
  <si>
    <t>2,32 %</t>
  </si>
  <si>
    <t>Nueva Mayoría para Chile (C)</t>
  </si>
  <si>
    <t>302 627</t>
  </si>
  <si>
    <t>4,57 %</t>
  </si>
  <si>
    <t>95 177</t>
  </si>
  <si>
    <t>1,44 %</t>
  </si>
  <si>
    <t>Partido Ecologista</t>
  </si>
  <si>
    <t>PE</t>
  </si>
  <si>
    <t>206 635</t>
  </si>
  <si>
    <t>3,08 %</t>
  </si>
  <si>
    <t>Chile Limpio. Vote Feliz (D)</t>
  </si>
  <si>
    <t>356 798</t>
  </si>
  <si>
    <t>5,39 %</t>
  </si>
  <si>
    <t>Partido Regionalista de los Independientes</t>
  </si>
  <si>
    <t>PRI</t>
  </si>
  <si>
    <t>264 466</t>
  </si>
  <si>
    <t>4,00 %</t>
  </si>
  <si>
    <t>Movimiento Amplio Social</t>
  </si>
  <si>
    <t>MAS</t>
  </si>
  <si>
    <t>26 440</t>
  </si>
  <si>
    <t>65 892</t>
  </si>
  <si>
    <t>1,00 %</t>
  </si>
  <si>
    <t>147 379</t>
  </si>
  <si>
    <t>2,23 %</t>
  </si>
  <si>
    <t>Nueva Mayoría</t>
  </si>
  <si>
    <t>2 967 896</t>
  </si>
  <si>
    <t>47,71 %</t>
  </si>
  <si>
    <t>55,83 %</t>
  </si>
  <si>
    <t>967 003</t>
  </si>
  <si>
    <t>15,55 %</t>
  </si>
  <si>
    <t>691 713</t>
  </si>
  <si>
    <t>11,12 %</t>
  </si>
  <si>
    <t>685 804</t>
  </si>
  <si>
    <t>11,03 %</t>
  </si>
  <si>
    <t>255 914</t>
  </si>
  <si>
    <t>4,11 %</t>
  </si>
  <si>
    <t>225 955</t>
  </si>
  <si>
    <t>3,63 %</t>
  </si>
  <si>
    <t>Nueva Mayoría (C)</t>
  </si>
  <si>
    <t>Izquierda Ciudadana</t>
  </si>
  <si>
    <t>IC</t>
  </si>
  <si>
    <t>39 281</t>
  </si>
  <si>
    <t>0,63 %</t>
  </si>
  <si>
    <t>95 839</t>
  </si>
  <si>
    <t>1,54 %</t>
  </si>
  <si>
    <t>Partido Regionalista de los Independientes (E)</t>
  </si>
  <si>
    <t>72 306</t>
  </si>
  <si>
    <t>1,16 %</t>
  </si>
  <si>
    <t>Partido Humanista (F)</t>
  </si>
  <si>
    <t>208 879</t>
  </si>
  <si>
    <t>3,36 %</t>
  </si>
  <si>
    <t>Nueva Constitución para Chile (H)</t>
  </si>
  <si>
    <t>172 903</t>
  </si>
  <si>
    <t>2,78 %</t>
  </si>
  <si>
    <t>Partido Ecologista Verde</t>
  </si>
  <si>
    <t>ECOV</t>
  </si>
  <si>
    <t>32 762</t>
  </si>
  <si>
    <t>0,53 %</t>
  </si>
  <si>
    <t>Partido Igualdad</t>
  </si>
  <si>
    <t>IGUAL</t>
  </si>
  <si>
    <t>67 094</t>
  </si>
  <si>
    <t>1,08 %</t>
  </si>
  <si>
    <t>Independientes Lista H</t>
  </si>
  <si>
    <t>ILH</t>
  </si>
  <si>
    <t>73 047</t>
  </si>
  <si>
    <t>Si tú quieres, Chile cambia (I)</t>
  </si>
  <si>
    <t>337 823</t>
  </si>
  <si>
    <t>5,43 %</t>
  </si>
  <si>
    <t>Partido Liberal de Chile</t>
  </si>
  <si>
    <t>16 664</t>
  </si>
  <si>
    <t>Partido Progresista</t>
  </si>
  <si>
    <t>PRO</t>
  </si>
  <si>
    <t>235 722</t>
  </si>
  <si>
    <t>3,79 %</t>
  </si>
  <si>
    <t>Independientes Lista I</t>
  </si>
  <si>
    <t>ILI</t>
  </si>
  <si>
    <t>85 437</t>
  </si>
  <si>
    <t>1,37 %</t>
  </si>
  <si>
    <t>Alianza (J)</t>
  </si>
  <si>
    <t>2 253 781</t>
  </si>
  <si>
    <t>36,23 %</t>
  </si>
  <si>
    <t>40,83 %</t>
  </si>
  <si>
    <t>928 037</t>
  </si>
  <si>
    <t>14,92 %</t>
  </si>
  <si>
    <t>1 179 342</t>
  </si>
  <si>
    <t>18,96 %</t>
  </si>
  <si>
    <t>24,16 %</t>
  </si>
  <si>
    <t>Independientes Lista J</t>
  </si>
  <si>
    <t>ILJ</t>
  </si>
  <si>
    <t>146 402</t>
  </si>
  <si>
    <t>2,35 %</t>
  </si>
  <si>
    <t>IND</t>
  </si>
  <si>
    <t>206 634</t>
  </si>
  <si>
    <t>3,32 %</t>
  </si>
  <si>
    <t>%</t>
  </si>
  <si>
    <t>Dip.</t>
  </si>
  <si>
    <t>Por Todo Chile (B)</t>
  </si>
  <si>
    <t>235 576</t>
  </si>
  <si>
    <t>3,93 %</t>
  </si>
  <si>
    <t>0,65 %</t>
  </si>
  <si>
    <t>200 110</t>
  </si>
  <si>
    <t>3,34 %</t>
  </si>
  <si>
    <t>País</t>
  </si>
  <si>
    <t>35 466</t>
  </si>
  <si>
    <t>0,59 %</t>
  </si>
  <si>
    <t>Partido de Trabajadores Revolucionarios (D)</t>
  </si>
  <si>
    <t>PTR</t>
  </si>
  <si>
    <t>0,08 %</t>
  </si>
  <si>
    <t>Frente Amplio (G)</t>
  </si>
  <si>
    <t>989 353</t>
  </si>
  <si>
    <t>16,50 %</t>
  </si>
  <si>
    <t>12,90 %</t>
  </si>
  <si>
    <t>Revolución Democrática</t>
  </si>
  <si>
    <t>RD</t>
  </si>
  <si>
    <t>343 193</t>
  </si>
  <si>
    <t>5,72 %</t>
  </si>
  <si>
    <t>6,45 %</t>
  </si>
  <si>
    <t>253 822</t>
  </si>
  <si>
    <t>4,23 %</t>
  </si>
  <si>
    <t>3,23 %</t>
  </si>
  <si>
    <t>46 502</t>
  </si>
  <si>
    <t>0,78 %</t>
  </si>
  <si>
    <t>1,29 %</t>
  </si>
  <si>
    <t>129 310</t>
  </si>
  <si>
    <t>2,16 %</t>
  </si>
  <si>
    <t>PEV</t>
  </si>
  <si>
    <t>128 789</t>
  </si>
  <si>
    <t>2,15 %</t>
  </si>
  <si>
    <t>Poder</t>
  </si>
  <si>
    <t>PODER</t>
  </si>
  <si>
    <t>87 737</t>
  </si>
  <si>
    <t>1,46 %</t>
  </si>
  <si>
    <t>Sumemos (H)</t>
  </si>
  <si>
    <t>94 477</t>
  </si>
  <si>
    <t>1,58 %</t>
  </si>
  <si>
    <t>Amplitud</t>
  </si>
  <si>
    <t>AMP</t>
  </si>
  <si>
    <t>61 302</t>
  </si>
  <si>
    <t>1,02 %</t>
  </si>
  <si>
    <t>Ciudadanos</t>
  </si>
  <si>
    <t>CIU</t>
  </si>
  <si>
    <t>30 300</t>
  </si>
  <si>
    <t>0,51 %</t>
  </si>
  <si>
    <t>Todos</t>
  </si>
  <si>
    <t>TODOS</t>
  </si>
  <si>
    <t>0,05 %</t>
  </si>
  <si>
    <t>Coalición Regionalista Verde (K)</t>
  </si>
  <si>
    <t>115 323</t>
  </si>
  <si>
    <t>1,92 %</t>
  </si>
  <si>
    <t>2,58 %</t>
  </si>
  <si>
    <t>Federación Regionalista Verde Social</t>
  </si>
  <si>
    <t>FREVS</t>
  </si>
  <si>
    <t>94 744</t>
  </si>
  <si>
    <t>Democracia Regional Patagónica</t>
  </si>
  <si>
    <t>DRP</t>
  </si>
  <si>
    <t>20 759</t>
  </si>
  <si>
    <t>0,34 %</t>
  </si>
  <si>
    <t>Unión Patriótica (M)</t>
  </si>
  <si>
    <t>UPA</t>
  </si>
  <si>
    <t>51 369</t>
  </si>
  <si>
    <t>0,86 %</t>
  </si>
  <si>
    <t>La Fuerza de la Mayoría (N)</t>
  </si>
  <si>
    <t>1 442 196</t>
  </si>
  <si>
    <t>24,05 %</t>
  </si>
  <si>
    <t>27,74 %</t>
  </si>
  <si>
    <t>584 972</t>
  </si>
  <si>
    <t>9,75 %</t>
  </si>
  <si>
    <t>12,26 %</t>
  </si>
  <si>
    <t>365 779</t>
  </si>
  <si>
    <t>6,10 %</t>
  </si>
  <si>
    <t>5,16 %</t>
  </si>
  <si>
    <t>274 935</t>
  </si>
  <si>
    <t>4,58 %</t>
  </si>
  <si>
    <t>216 510</t>
  </si>
  <si>
    <t>3,61 %</t>
  </si>
  <si>
    <t>Convergencia Democrática (O)</t>
  </si>
  <si>
    <t>640 612</t>
  </si>
  <si>
    <t>10,62 %</t>
  </si>
  <si>
    <t>9,03 %</t>
  </si>
  <si>
    <t>616 668</t>
  </si>
  <si>
    <t>10,28 %</t>
  </si>
  <si>
    <t>14 344</t>
  </si>
  <si>
    <t>0,24 %</t>
  </si>
  <si>
    <t>MAS Región</t>
  </si>
  <si>
    <t>MR</t>
  </si>
  <si>
    <t>0,16 %</t>
  </si>
  <si>
    <t>Chile Vamos (P)</t>
  </si>
  <si>
    <t>2 318 719</t>
  </si>
  <si>
    <t>38,66 %</t>
  </si>
  <si>
    <t>46,45 %</t>
  </si>
  <si>
    <t>1 066 764</t>
  </si>
  <si>
    <t>17,79 %</t>
  </si>
  <si>
    <t>23,23 %</t>
  </si>
  <si>
    <t>957 032</t>
  </si>
  <si>
    <t>15,96 %</t>
  </si>
  <si>
    <t>19,35 %</t>
  </si>
  <si>
    <t>Evolución Política</t>
  </si>
  <si>
    <t>EVOP</t>
  </si>
  <si>
    <t>255 193</t>
  </si>
  <si>
    <t>4,26 %</t>
  </si>
  <si>
    <t>3,87 %</t>
  </si>
  <si>
    <t>Partido Regionalista Independiente</t>
  </si>
  <si>
    <t>39 730</t>
  </si>
  <si>
    <t>0,66 %</t>
  </si>
  <si>
    <t>104 960</t>
  </si>
  <si>
    <t>Chile Podemos + (AA)</t>
  </si>
  <si>
    <t>1 609 482</t>
  </si>
  <si>
    <t>25,43 %</t>
  </si>
  <si>
    <t>693 474</t>
  </si>
  <si>
    <t>10,96 %</t>
  </si>
  <si>
    <t>671 502</t>
  </si>
  <si>
    <t>10,61 %</t>
  </si>
  <si>
    <t>EVO</t>
  </si>
  <si>
    <t>221 284</t>
  </si>
  <si>
    <t>3,50 %</t>
  </si>
  <si>
    <t>Partido Regionalista Independiente Demócrata</t>
  </si>
  <si>
    <t>23 222</t>
  </si>
  <si>
    <t>0,37 %</t>
  </si>
  <si>
    <t>Partido de la Gente (AB)</t>
  </si>
  <si>
    <t>PDG</t>
  </si>
  <si>
    <t>534 881</t>
  </si>
  <si>
    <t>8,45 %</t>
  </si>
  <si>
    <t>Partido de Trabajadores Revolucionarios (AE)</t>
  </si>
  <si>
    <t>51 075</t>
  </si>
  <si>
    <t>Nuevo Pacto Social (AH)</t>
  </si>
  <si>
    <t>1 085 978</t>
  </si>
  <si>
    <t>17,16 %</t>
  </si>
  <si>
    <t>343 437</t>
  </si>
  <si>
    <t>± Dip.</t>
  </si>
  <si>
    <t>264 985</t>
  </si>
  <si>
    <t>4,19 %</t>
  </si>
  <si>
    <t>–19</t>
  </si>
  <si>
    <t>242 927</t>
  </si>
  <si>
    <t>–11</t>
  </si>
  <si>
    <t>111 117</t>
  </si>
  <si>
    <t>1,76 %</t>
  </si>
  <si>
    <t>–7</t>
  </si>
  <si>
    <t>96 010</t>
  </si>
  <si>
    <t>1,52 %</t>
  </si>
  <si>
    <t>–2</t>
  </si>
  <si>
    <t>27 502</t>
  </si>
  <si>
    <t>0,43 %</t>
  </si>
  <si>
    <t>Partido Ecologista Verde (AL)</t>
  </si>
  <si>
    <t>305 443</t>
  </si>
  <si>
    <t>4,83 %</t>
  </si>
  <si>
    <t>Unión Patriótica (AM)</t>
  </si>
  <si>
    <t>56 506</t>
  </si>
  <si>
    <t>0,89 %</t>
  </si>
  <si>
    <t>±0</t>
  </si>
  <si>
    <t>Dignidad Ahora (AN)</t>
  </si>
  <si>
    <t>322 915</t>
  </si>
  <si>
    <t>5,10 %</t>
  </si>
  <si>
    <t>195 409</t>
  </si>
  <si>
    <t>3,09 %</t>
  </si>
  <si>
    <t>–6</t>
  </si>
  <si>
    <t>127 506</t>
  </si>
  <si>
    <t>2,01 %</t>
  </si>
  <si>
    <t>–5</t>
  </si>
  <si>
    <t>Frente Social Cristiano (AP)</t>
  </si>
  <si>
    <t>707 286</t>
  </si>
  <si>
    <t>11,18 %</t>
  </si>
  <si>
    <t>–1</t>
  </si>
  <si>
    <t>Partido Republicano</t>
  </si>
  <si>
    <t>PRCh</t>
  </si>
  <si>
    <t>666 726</t>
  </si>
  <si>
    <t>10,54 %</t>
  </si>
  <si>
    <t>–4</t>
  </si>
  <si>
    <t>Partido Conservador Cristiano</t>
  </si>
  <si>
    <t>PCC</t>
  </si>
  <si>
    <t>40 560</t>
  </si>
  <si>
    <t>0,64 %</t>
  </si>
  <si>
    <t>Apruebo Dignidad (AR)</t>
  </si>
  <si>
    <t>1 325 232</t>
  </si>
  <si>
    <t>20,94 %</t>
  </si>
  <si>
    <t>464 885</t>
  </si>
  <si>
    <t>7,35 %</t>
  </si>
  <si>
    <t>Convergencia Social</t>
  </si>
  <si>
    <t>CS</t>
  </si>
  <si>
    <t>287 190</t>
  </si>
  <si>
    <t>4,54 %</t>
  </si>
  <si>
    <t>257 854</t>
  </si>
  <si>
    <t>4,07 %</t>
  </si>
  <si>
    <t>–3</t>
  </si>
  <si>
    <t>Comunes</t>
  </si>
  <si>
    <t>COM</t>
  </si>
  <si>
    <t>207 607</t>
  </si>
  <si>
    <t>3,28 %</t>
  </si>
  <si>
    <t>FRVS</t>
  </si>
  <si>
    <t>107 696</t>
  </si>
  <si>
    <t>1,70 %</t>
  </si>
  <si>
    <t>Nuevo Tiempo (AT)</t>
  </si>
  <si>
    <t>NT</t>
  </si>
  <si>
    <t>0,07 %</t>
  </si>
  <si>
    <t>Independientes Unidos (AW)</t>
  </si>
  <si>
    <t>187 396</t>
  </si>
  <si>
    <t>2,96 %</t>
  </si>
  <si>
    <t>Centro Unido</t>
  </si>
  <si>
    <t>CU</t>
  </si>
  <si>
    <t>177 105</t>
  </si>
  <si>
    <t>2,80 %</t>
  </si>
  <si>
    <t>Partido Nacional Ciudadano</t>
  </si>
  <si>
    <t>PNC</t>
  </si>
  <si>
    <t>10 291</t>
  </si>
  <si>
    <t>Partido Progresista (AY)</t>
  </si>
  <si>
    <t>46 422</t>
  </si>
  <si>
    <t>0,73 %</t>
  </si>
  <si>
    <t>90 960</t>
  </si>
  <si>
    <t>Partido Ecologista Verde (A)</t>
  </si>
  <si>
    <t>88 431</t>
  </si>
  <si>
    <t>Verdes, Regionalistas y Humanistas (B)</t>
  </si>
  <si>
    <t>741 005</t>
  </si>
  <si>
    <t>6,91 %</t>
  </si>
  <si>
    <t>469 942</t>
  </si>
  <si>
    <t>Acción Humanista</t>
  </si>
  <si>
    <t>AH</t>
  </si>
  <si>
    <t>271 063</t>
  </si>
  <si>
    <t>2,53 %</t>
  </si>
  <si>
    <t>Unidad por Chile (C)</t>
  </si>
  <si>
    <t>3 280 644</t>
  </si>
  <si>
    <t>30,61 %</t>
  </si>
  <si>
    <t>Frente Amplio</t>
  </si>
  <si>
    <t>FA</t>
  </si>
  <si>
    <t>809 428</t>
  </si>
  <si>
    <t>7,55 %</t>
  </si>
  <si>
    <t>586 348</t>
  </si>
  <si>
    <t>5,47 %</t>
  </si>
  <si>
    <t>538 793</t>
  </si>
  <si>
    <t>5,03 %</t>
  </si>
  <si>
    <t>452 847</t>
  </si>
  <si>
    <t>430 524</t>
  </si>
  <si>
    <t>4,02 %</t>
  </si>
  <si>
    <t>237 343</t>
  </si>
  <si>
    <t>2,21 %</t>
  </si>
  <si>
    <t>225 361</t>
  </si>
  <si>
    <t>2,10 %</t>
  </si>
  <si>
    <t>Izquierda Ecologista Popular Animalista y Humanista (D)</t>
  </si>
  <si>
    <t>279 551</t>
  </si>
  <si>
    <t>2,61 %</t>
  </si>
  <si>
    <t>199 680</t>
  </si>
  <si>
    <t>1,86 %</t>
  </si>
  <si>
    <t>Igualdad</t>
  </si>
  <si>
    <t>79 871</t>
  </si>
  <si>
    <t>0,75 %</t>
  </si>
  <si>
    <t>Movimiento Amarillos por Chile (E)</t>
  </si>
  <si>
    <t>AxCh</t>
  </si>
  <si>
    <t>87 744</t>
  </si>
  <si>
    <t>0,82 %</t>
  </si>
  <si>
    <t>Partido de Trabajadores Revolucionarios (F)</t>
  </si>
  <si>
    <t>65 058</t>
  </si>
  <si>
    <t>0,61 %</t>
  </si>
  <si>
    <t>Partido Alianza Verde Popular (G)</t>
  </si>
  <si>
    <t>PAVP</t>
  </si>
  <si>
    <t>69 410</t>
  </si>
  <si>
    <t>Popular (H)</t>
  </si>
  <si>
    <t>POP</t>
  </si>
  <si>
    <t>23 365</t>
  </si>
  <si>
    <t>Partido de la Gente (I)</t>
  </si>
  <si>
    <t>1 285 464</t>
  </si>
  <si>
    <t>11,99 %</t>
  </si>
  <si>
    <t>Chile Grande y Unido (J)</t>
  </si>
  <si>
    <t>2 256 664</t>
  </si>
  <si>
    <t>21,05 %</t>
  </si>
  <si>
    <t>895 233</t>
  </si>
  <si>
    <t>8,35 %</t>
  </si>
  <si>
    <t>868 240</t>
  </si>
  <si>
    <t>8,10 %</t>
  </si>
  <si>
    <t>302 634</t>
  </si>
  <si>
    <t>2,82 %</t>
  </si>
  <si>
    <t>Demócratas</t>
  </si>
  <si>
    <t>DEM</t>
  </si>
  <si>
    <t>190 557</t>
  </si>
  <si>
    <t>1,78 %</t>
  </si>
  <si>
    <t>Cambio por Chile (K)</t>
  </si>
  <si>
    <t>2 467 220</t>
  </si>
  <si>
    <t>23,02 %</t>
  </si>
  <si>
    <t>1 424 832</t>
  </si>
  <si>
    <t>13,29 %</t>
  </si>
  <si>
    <t>Partido Nacional Libertario</t>
  </si>
  <si>
    <t>PNL</t>
  </si>
  <si>
    <t>679 500</t>
  </si>
  <si>
    <t>6,34 %</t>
  </si>
  <si>
    <t>Partido Social Cristiano</t>
  </si>
  <si>
    <t>PSC</t>
  </si>
  <si>
    <t>362 888</t>
  </si>
  <si>
    <t>3,39 %</t>
  </si>
  <si>
    <t>73 475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</si>
</sst>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1.0"/>
      <color rgb="FF202122"/>
      <name val="Arial"/>
    </font>
    <font>
      <sz val="11.0"/>
      <color rgb="FF202122"/>
      <name val="Arial"/>
    </font>
    <font>
      <sz val="11.0"/>
      <color theme="1"/>
      <name val="Arial"/>
    </font>
    <font>
      <sz val="11.0"/>
      <color rgb="FF43434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ill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ont="1">
      <alignment horizontal="left"/>
    </xf>
    <xf borderId="1" fillId="2" fontId="4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9" xfId="0" applyAlignment="1" applyFont="1" applyNumberFormat="1">
      <alignment horizontal="left" readingOrder="0"/>
    </xf>
    <xf borderId="1" fillId="2" fontId="1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readingOrder="0" shrinkToFit="0" vertical="center" wrapText="0"/>
    </xf>
    <xf borderId="1" fillId="2" fontId="6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ill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5" fontId="6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shrinkToFit="0" vertical="center" wrapText="0"/>
    </xf>
    <xf borderId="1" fillId="6" fontId="3" numFmtId="0" xfId="0" applyAlignment="1" applyBorder="1" applyFill="1" applyFont="1">
      <alignment horizontal="left" readingOrder="0" shrinkToFit="0" vertical="center" wrapText="0"/>
    </xf>
    <xf borderId="1" fillId="6" fontId="6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/>
    </xf>
    <xf borderId="1" fillId="2" fontId="6" numFmtId="0" xfId="0" applyAlignment="1" applyBorder="1" applyFont="1">
      <alignment horizontal="left" readingOrder="0" shrinkToFit="0" vertical="center" wrapText="0"/>
    </xf>
    <xf borderId="0" fillId="7" fontId="2" numFmtId="0" xfId="0" applyAlignment="1" applyFill="1" applyFont="1">
      <alignment horizontal="left" readingOrder="0"/>
    </xf>
    <xf borderId="0" fillId="7" fontId="2" numFmtId="0" xfId="0" applyAlignment="1" applyFont="1">
      <alignment horizontal="left"/>
    </xf>
    <xf borderId="1" fillId="2" fontId="5" numFmtId="9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8" fontId="2" numFmtId="0" xfId="0" applyAlignment="1" applyFill="1" applyFont="1">
      <alignment horizontal="left"/>
    </xf>
    <xf borderId="0" fillId="8" fontId="2" numFmtId="0" xfId="0" applyAlignment="1" applyFont="1">
      <alignment horizontal="left" readingOrder="0"/>
    </xf>
    <xf borderId="1" fillId="2" fontId="5" numFmtId="0" xfId="0" applyAlignment="1" applyBorder="1" applyFont="1">
      <alignment horizontal="left" shrinkToFit="0" vertical="center" wrapText="0"/>
    </xf>
    <xf borderId="0" fillId="7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5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46" displayName="Tabla_3" name="Tabla_3" id="1">
  <tableColumns count="8">
    <tableColumn name="Pacto o partido" id="1"/>
    <tableColumn name="Sigla" id="2"/>
    <tableColumn name="Candidatos" id="3"/>
    <tableColumn name="Votos" id="4"/>
    <tableColumn name="% Votos" id="5"/>
    <tableColumn name="N° Diputados" id="6"/>
    <tableColumn name="% Diputados" id="7"/>
    <tableColumn name="Año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13"/>
    <col customWidth="1" min="2" max="2" width="35.0"/>
    <col customWidth="1" min="3" max="3" width="16.75"/>
    <col customWidth="1" min="6" max="6" width="13.5"/>
    <col customWidth="1" min="8" max="8" width="12.75"/>
    <col customWidth="1" min="9" max="9" width="13.5"/>
    <col customWidth="1" min="11" max="11" width="44.38"/>
    <col customWidth="1" min="12" max="12" width="38.63"/>
    <col customWidth="1" min="13" max="13" width="1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8</v>
      </c>
      <c r="B2" s="4"/>
      <c r="C2" s="5">
        <v>116.0</v>
      </c>
      <c r="D2" s="3" t="s">
        <v>9</v>
      </c>
      <c r="E2" s="3" t="s">
        <v>10</v>
      </c>
      <c r="F2" s="6">
        <v>69.0</v>
      </c>
      <c r="G2" s="3" t="s">
        <v>11</v>
      </c>
      <c r="H2" s="6">
        <v>1989.0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7" t="s">
        <v>12</v>
      </c>
      <c r="B3" s="8" t="s">
        <v>13</v>
      </c>
      <c r="C3" s="9">
        <v>45.0</v>
      </c>
      <c r="D3" s="7" t="s">
        <v>14</v>
      </c>
      <c r="E3" s="7" t="s">
        <v>15</v>
      </c>
      <c r="F3" s="9">
        <v>38.0</v>
      </c>
      <c r="G3" s="7" t="s">
        <v>16</v>
      </c>
      <c r="H3" s="10">
        <v>1989.0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7" t="s">
        <v>17</v>
      </c>
      <c r="B4" s="8" t="s">
        <v>18</v>
      </c>
      <c r="C4" s="9">
        <v>25.0</v>
      </c>
      <c r="D4" s="7" t="s">
        <v>19</v>
      </c>
      <c r="E4" s="7" t="s">
        <v>20</v>
      </c>
      <c r="F4" s="9">
        <v>16.0</v>
      </c>
      <c r="G4" s="7" t="s">
        <v>21</v>
      </c>
      <c r="H4" s="10">
        <v>1989.0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7" t="s">
        <v>22</v>
      </c>
      <c r="B5" s="8" t="s">
        <v>23</v>
      </c>
      <c r="C5" s="9">
        <v>16.0</v>
      </c>
      <c r="D5" s="7" t="s">
        <v>24</v>
      </c>
      <c r="E5" s="7" t="s">
        <v>25</v>
      </c>
      <c r="F5" s="9">
        <v>5.0</v>
      </c>
      <c r="G5" s="7" t="s">
        <v>26</v>
      </c>
      <c r="H5" s="10">
        <v>1989.0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7" t="s">
        <v>27</v>
      </c>
      <c r="B6" s="8" t="s">
        <v>28</v>
      </c>
      <c r="C6" s="9">
        <v>3.0</v>
      </c>
      <c r="D6" s="7" t="s">
        <v>29</v>
      </c>
      <c r="E6" s="7" t="s">
        <v>30</v>
      </c>
      <c r="F6" s="9">
        <v>1.0</v>
      </c>
      <c r="G6" s="7" t="s">
        <v>31</v>
      </c>
      <c r="H6" s="10">
        <v>1989.0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7" t="s">
        <v>32</v>
      </c>
      <c r="B7" s="8" t="s">
        <v>33</v>
      </c>
      <c r="C7" s="9">
        <v>2.0</v>
      </c>
      <c r="D7" s="7" t="s">
        <v>34</v>
      </c>
      <c r="E7" s="7" t="s">
        <v>35</v>
      </c>
      <c r="F7" s="9">
        <v>0.0</v>
      </c>
      <c r="G7" s="7" t="s">
        <v>36</v>
      </c>
      <c r="H7" s="10">
        <v>1989.0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7" t="s">
        <v>37</v>
      </c>
      <c r="B8" s="8" t="s">
        <v>38</v>
      </c>
      <c r="C8" s="9">
        <v>25.0</v>
      </c>
      <c r="D8" s="7" t="s">
        <v>39</v>
      </c>
      <c r="E8" s="7" t="s">
        <v>40</v>
      </c>
      <c r="F8" s="9">
        <v>9.0</v>
      </c>
      <c r="G8" s="7" t="s">
        <v>41</v>
      </c>
      <c r="H8" s="10">
        <v>1989.0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 t="s">
        <v>42</v>
      </c>
      <c r="B9" s="11"/>
      <c r="C9" s="5">
        <v>119.0</v>
      </c>
      <c r="D9" s="3" t="s">
        <v>43</v>
      </c>
      <c r="E9" s="3" t="s">
        <v>44</v>
      </c>
      <c r="F9" s="6">
        <v>48.0</v>
      </c>
      <c r="G9" s="3" t="s">
        <v>45</v>
      </c>
      <c r="H9" s="6">
        <v>1989.0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7" t="s">
        <v>46</v>
      </c>
      <c r="B10" s="8" t="s">
        <v>47</v>
      </c>
      <c r="C10" s="9">
        <v>66.0</v>
      </c>
      <c r="D10" s="7" t="s">
        <v>48</v>
      </c>
      <c r="E10" s="7" t="s">
        <v>49</v>
      </c>
      <c r="F10" s="9">
        <v>29.0</v>
      </c>
      <c r="G10" s="7" t="s">
        <v>50</v>
      </c>
      <c r="H10" s="10">
        <v>1989.0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7" t="s">
        <v>51</v>
      </c>
      <c r="B11" s="8" t="s">
        <v>52</v>
      </c>
      <c r="C11" s="9">
        <v>30.0</v>
      </c>
      <c r="D11" s="7" t="s">
        <v>53</v>
      </c>
      <c r="E11" s="7" t="s">
        <v>54</v>
      </c>
      <c r="F11" s="9">
        <v>11.0</v>
      </c>
      <c r="G11" s="7" t="s">
        <v>55</v>
      </c>
      <c r="H11" s="10">
        <v>1989.0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7" t="s">
        <v>56</v>
      </c>
      <c r="B12" s="8" t="s">
        <v>57</v>
      </c>
      <c r="C12" s="9">
        <v>23.0</v>
      </c>
      <c r="D12" s="7" t="s">
        <v>58</v>
      </c>
      <c r="E12" s="7" t="s">
        <v>59</v>
      </c>
      <c r="F12" s="9">
        <v>8.0</v>
      </c>
      <c r="G12" s="7" t="s">
        <v>60</v>
      </c>
      <c r="H12" s="10">
        <v>1989.0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2" t="s">
        <v>61</v>
      </c>
      <c r="B13" s="13" t="s">
        <v>62</v>
      </c>
      <c r="C13" s="10">
        <v>16.0</v>
      </c>
      <c r="D13" s="12" t="s">
        <v>63</v>
      </c>
      <c r="E13" s="12" t="s">
        <v>64</v>
      </c>
      <c r="F13" s="10">
        <v>0.0</v>
      </c>
      <c r="G13" s="12" t="s">
        <v>36</v>
      </c>
      <c r="H13" s="10">
        <v>1989.0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 t="s">
        <v>65</v>
      </c>
      <c r="B14" s="11"/>
      <c r="C14" s="5">
        <v>62.0</v>
      </c>
      <c r="D14" s="3" t="s">
        <v>66</v>
      </c>
      <c r="E14" s="3" t="s">
        <v>67</v>
      </c>
      <c r="F14" s="6">
        <v>0.0</v>
      </c>
      <c r="G14" s="3" t="s">
        <v>36</v>
      </c>
      <c r="H14" s="6">
        <v>1989.0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7" t="s">
        <v>68</v>
      </c>
      <c r="B15" s="8" t="s">
        <v>69</v>
      </c>
      <c r="C15" s="9">
        <v>26.0</v>
      </c>
      <c r="D15" s="7" t="s">
        <v>70</v>
      </c>
      <c r="E15" s="7" t="s">
        <v>71</v>
      </c>
      <c r="F15" s="9">
        <v>0.0</v>
      </c>
      <c r="G15" s="7" t="s">
        <v>36</v>
      </c>
      <c r="H15" s="10">
        <v>1989.0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7" t="s">
        <v>72</v>
      </c>
      <c r="B16" s="8" t="s">
        <v>73</v>
      </c>
      <c r="C16" s="9">
        <v>10.0</v>
      </c>
      <c r="D16" s="7" t="s">
        <v>74</v>
      </c>
      <c r="E16" s="7" t="s">
        <v>75</v>
      </c>
      <c r="F16" s="9">
        <v>0.0</v>
      </c>
      <c r="G16" s="7" t="s">
        <v>36</v>
      </c>
      <c r="H16" s="10">
        <v>1989.0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7" t="s">
        <v>76</v>
      </c>
      <c r="B17" s="8" t="s">
        <v>77</v>
      </c>
      <c r="C17" s="9">
        <v>26.0</v>
      </c>
      <c r="D17" s="7" t="s">
        <v>78</v>
      </c>
      <c r="E17" s="7" t="s">
        <v>79</v>
      </c>
      <c r="F17" s="9">
        <v>0.0</v>
      </c>
      <c r="G17" s="7" t="s">
        <v>36</v>
      </c>
      <c r="H17" s="10">
        <v>1989.0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80</v>
      </c>
      <c r="B18" s="11"/>
      <c r="C18" s="5">
        <v>38.0</v>
      </c>
      <c r="D18" s="3" t="s">
        <v>81</v>
      </c>
      <c r="E18" s="3" t="s">
        <v>82</v>
      </c>
      <c r="F18" s="6">
        <v>0.0</v>
      </c>
      <c r="G18" s="3" t="s">
        <v>36</v>
      </c>
      <c r="H18" s="6">
        <v>1989.0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7" t="s">
        <v>83</v>
      </c>
      <c r="B19" s="8" t="s">
        <v>84</v>
      </c>
      <c r="C19" s="9">
        <v>13.0</v>
      </c>
      <c r="D19" s="7" t="s">
        <v>85</v>
      </c>
      <c r="E19" s="7" t="s">
        <v>86</v>
      </c>
      <c r="F19" s="9">
        <v>0.0</v>
      </c>
      <c r="G19" s="7" t="s">
        <v>36</v>
      </c>
      <c r="H19" s="10">
        <v>1989.0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7" t="s">
        <v>87</v>
      </c>
      <c r="B20" s="8" t="s">
        <v>88</v>
      </c>
      <c r="C20" s="9">
        <v>1.0</v>
      </c>
      <c r="D20" s="7" t="s">
        <v>89</v>
      </c>
      <c r="E20" s="7" t="s">
        <v>90</v>
      </c>
      <c r="F20" s="9">
        <v>0.0</v>
      </c>
      <c r="G20" s="7" t="s">
        <v>36</v>
      </c>
      <c r="H20" s="10">
        <v>1989.0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7" t="s">
        <v>91</v>
      </c>
      <c r="B21" s="8" t="s">
        <v>92</v>
      </c>
      <c r="C21" s="9">
        <v>24.0</v>
      </c>
      <c r="D21" s="7" t="s">
        <v>93</v>
      </c>
      <c r="E21" s="7" t="s">
        <v>94</v>
      </c>
      <c r="F21" s="9">
        <v>0.0</v>
      </c>
      <c r="G21" s="7" t="s">
        <v>36</v>
      </c>
      <c r="H21" s="10">
        <v>1989.0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 t="s">
        <v>95</v>
      </c>
      <c r="B22" s="11" t="s">
        <v>96</v>
      </c>
      <c r="C22" s="6">
        <v>18.0</v>
      </c>
      <c r="D22" s="3" t="s">
        <v>97</v>
      </c>
      <c r="E22" s="3" t="s">
        <v>98</v>
      </c>
      <c r="F22" s="6">
        <v>0.0</v>
      </c>
      <c r="G22" s="3" t="s">
        <v>36</v>
      </c>
      <c r="H22" s="6">
        <v>1989.0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 t="s">
        <v>99</v>
      </c>
      <c r="B23" s="11"/>
      <c r="C23" s="5">
        <v>31.0</v>
      </c>
      <c r="D23" s="3" t="s">
        <v>100</v>
      </c>
      <c r="E23" s="3" t="s">
        <v>101</v>
      </c>
      <c r="F23" s="6">
        <v>2.0</v>
      </c>
      <c r="G23" s="3" t="s">
        <v>102</v>
      </c>
      <c r="H23" s="6">
        <v>1989.0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7" t="s">
        <v>103</v>
      </c>
      <c r="B24" s="8" t="s">
        <v>104</v>
      </c>
      <c r="C24" s="9">
        <v>22.0</v>
      </c>
      <c r="D24" s="7" t="s">
        <v>105</v>
      </c>
      <c r="E24" s="7" t="s">
        <v>106</v>
      </c>
      <c r="F24" s="9">
        <v>2.0</v>
      </c>
      <c r="G24" s="7" t="s">
        <v>102</v>
      </c>
      <c r="H24" s="10">
        <v>1989.0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7" t="s">
        <v>107</v>
      </c>
      <c r="B25" s="8" t="s">
        <v>108</v>
      </c>
      <c r="C25" s="9">
        <v>2.0</v>
      </c>
      <c r="D25" s="7">
        <v>1330.0</v>
      </c>
      <c r="E25" s="7" t="s">
        <v>109</v>
      </c>
      <c r="F25" s="9">
        <v>0.0</v>
      </c>
      <c r="G25" s="7" t="s">
        <v>36</v>
      </c>
      <c r="H25" s="10">
        <v>1989.0</v>
      </c>
      <c r="I25" s="2"/>
      <c r="J25" s="2"/>
      <c r="K25" s="14"/>
      <c r="L25" s="15"/>
      <c r="M25" s="14"/>
      <c r="N25" s="14"/>
      <c r="O25" s="14"/>
      <c r="P25" s="14"/>
      <c r="Q25" s="14"/>
      <c r="R25" s="15"/>
      <c r="S25" s="15"/>
      <c r="T25" s="2"/>
      <c r="U25" s="2"/>
      <c r="V25" s="2"/>
      <c r="W25" s="2"/>
      <c r="X25" s="2"/>
      <c r="Y25" s="2"/>
      <c r="Z25" s="2"/>
    </row>
    <row r="26" ht="22.5" customHeight="1">
      <c r="A26" s="7" t="s">
        <v>110</v>
      </c>
      <c r="B26" s="8" t="s">
        <v>111</v>
      </c>
      <c r="C26" s="9">
        <v>7.0</v>
      </c>
      <c r="D26" s="7" t="s">
        <v>112</v>
      </c>
      <c r="E26" s="7" t="s">
        <v>113</v>
      </c>
      <c r="F26" s="9">
        <v>0.0</v>
      </c>
      <c r="G26" s="7" t="s">
        <v>36</v>
      </c>
      <c r="H26" s="10">
        <v>1989.0</v>
      </c>
      <c r="I26" s="2"/>
      <c r="J26" s="2"/>
      <c r="K26" s="14" t="s">
        <v>0</v>
      </c>
      <c r="L26" s="14" t="s">
        <v>1</v>
      </c>
      <c r="M26" s="14" t="s">
        <v>114</v>
      </c>
      <c r="N26" s="14" t="s">
        <v>3</v>
      </c>
      <c r="O26" s="14" t="s">
        <v>115</v>
      </c>
      <c r="P26" s="14" t="s">
        <v>116</v>
      </c>
      <c r="Q26" s="14" t="s">
        <v>115</v>
      </c>
      <c r="R26" s="14"/>
      <c r="S26" s="14"/>
      <c r="T26" s="2"/>
      <c r="U26" s="2"/>
      <c r="V26" s="2"/>
      <c r="W26" s="2"/>
      <c r="X26" s="2"/>
      <c r="Y26" s="2"/>
      <c r="Z26" s="2"/>
    </row>
    <row r="27" ht="22.5" customHeight="1">
      <c r="A27" s="16" t="s">
        <v>117</v>
      </c>
      <c r="B27" s="11" t="s">
        <v>118</v>
      </c>
      <c r="C27" s="6">
        <v>19.0</v>
      </c>
      <c r="D27" s="3" t="s">
        <v>119</v>
      </c>
      <c r="E27" s="3" t="s">
        <v>120</v>
      </c>
      <c r="F27" s="6">
        <v>1.0</v>
      </c>
      <c r="G27" s="3" t="s">
        <v>31</v>
      </c>
      <c r="H27" s="6">
        <v>1989.0</v>
      </c>
      <c r="I27" s="2"/>
      <c r="J27" s="2"/>
      <c r="K27" s="17" t="s">
        <v>121</v>
      </c>
      <c r="L27" s="17" t="s">
        <v>122</v>
      </c>
      <c r="M27" s="17">
        <v>90.0</v>
      </c>
      <c r="N27" s="17" t="s">
        <v>123</v>
      </c>
      <c r="O27" s="17" t="s">
        <v>124</v>
      </c>
      <c r="P27" s="17">
        <v>0.0</v>
      </c>
      <c r="Q27" s="18">
        <v>0.0</v>
      </c>
      <c r="R27" s="17"/>
      <c r="S27" s="2"/>
      <c r="T27" s="17"/>
      <c r="U27" s="2"/>
      <c r="V27" s="2"/>
      <c r="W27" s="2"/>
      <c r="X27" s="2"/>
      <c r="Y27" s="2"/>
      <c r="Z27" s="2"/>
    </row>
    <row r="28" ht="22.5" customHeight="1">
      <c r="A28" s="16" t="s">
        <v>125</v>
      </c>
      <c r="B28" s="19"/>
      <c r="C28" s="6">
        <v>92.0</v>
      </c>
      <c r="D28" s="3" t="s">
        <v>126</v>
      </c>
      <c r="E28" s="20" t="s">
        <v>127</v>
      </c>
      <c r="F28" s="6">
        <v>0.0</v>
      </c>
      <c r="G28" s="21" t="s">
        <v>36</v>
      </c>
      <c r="H28" s="6">
        <v>1993.0</v>
      </c>
      <c r="I28" s="2"/>
      <c r="J28" s="2"/>
      <c r="K28" s="17" t="s">
        <v>128</v>
      </c>
      <c r="L28" s="17"/>
      <c r="M28" s="17">
        <v>119.0</v>
      </c>
      <c r="N28" s="17" t="s">
        <v>129</v>
      </c>
      <c r="O28" s="17" t="s">
        <v>130</v>
      </c>
      <c r="P28" s="17">
        <v>47.0</v>
      </c>
      <c r="Q28" s="17" t="s">
        <v>131</v>
      </c>
      <c r="R28" s="17"/>
      <c r="S28" s="17"/>
      <c r="T28" s="2"/>
      <c r="U28" s="2"/>
      <c r="V28" s="2"/>
      <c r="W28" s="2"/>
      <c r="X28" s="2"/>
      <c r="Y28" s="2"/>
      <c r="Z28" s="2"/>
    </row>
    <row r="29" ht="22.5" customHeight="1">
      <c r="A29" s="22" t="s">
        <v>132</v>
      </c>
      <c r="B29" s="23" t="s">
        <v>133</v>
      </c>
      <c r="C29" s="24">
        <v>69.0</v>
      </c>
      <c r="D29" s="25" t="s">
        <v>134</v>
      </c>
      <c r="E29" s="26" t="s">
        <v>135</v>
      </c>
      <c r="F29" s="24">
        <v>0.0</v>
      </c>
      <c r="G29" s="27" t="s">
        <v>36</v>
      </c>
      <c r="H29" s="28">
        <v>1993.0</v>
      </c>
      <c r="I29" s="2"/>
      <c r="J29" s="2"/>
      <c r="K29" s="17" t="s">
        <v>46</v>
      </c>
      <c r="L29" s="17" t="s">
        <v>47</v>
      </c>
      <c r="M29" s="17">
        <v>52.0</v>
      </c>
      <c r="N29" s="17" t="s">
        <v>136</v>
      </c>
      <c r="O29" s="17" t="s">
        <v>137</v>
      </c>
      <c r="P29" s="17">
        <v>23.0</v>
      </c>
      <c r="Q29" s="17" t="s">
        <v>138</v>
      </c>
      <c r="R29" s="17"/>
      <c r="S29" s="17"/>
      <c r="T29" s="2"/>
      <c r="U29" s="2"/>
      <c r="V29" s="2"/>
      <c r="W29" s="2"/>
      <c r="X29" s="2"/>
      <c r="Y29" s="2"/>
      <c r="Z29" s="2"/>
    </row>
    <row r="30" ht="22.5" customHeight="1">
      <c r="A30" s="22" t="s">
        <v>139</v>
      </c>
      <c r="B30" s="23" t="s">
        <v>140</v>
      </c>
      <c r="C30" s="29">
        <v>3.0</v>
      </c>
      <c r="D30" s="25" t="s">
        <v>141</v>
      </c>
      <c r="E30" s="26" t="s">
        <v>142</v>
      </c>
      <c r="F30" s="29">
        <v>0.0</v>
      </c>
      <c r="G30" s="30" t="s">
        <v>36</v>
      </c>
      <c r="H30" s="28">
        <v>1993.0</v>
      </c>
      <c r="I30" s="2"/>
      <c r="J30" s="2"/>
      <c r="K30" s="17" t="s">
        <v>51</v>
      </c>
      <c r="L30" s="17" t="s">
        <v>52</v>
      </c>
      <c r="M30" s="17">
        <v>47.0</v>
      </c>
      <c r="N30" s="17" t="s">
        <v>143</v>
      </c>
      <c r="O30" s="17" t="s">
        <v>144</v>
      </c>
      <c r="P30" s="17">
        <v>17.0</v>
      </c>
      <c r="Q30" s="17" t="s">
        <v>145</v>
      </c>
      <c r="R30" s="17"/>
      <c r="S30" s="17"/>
      <c r="T30" s="2"/>
      <c r="U30" s="2"/>
      <c r="V30" s="2"/>
      <c r="W30" s="2"/>
      <c r="X30" s="2"/>
      <c r="Y30" s="2"/>
      <c r="Z30" s="2"/>
    </row>
    <row r="31" ht="22.5" customHeight="1">
      <c r="A31" s="22" t="s">
        <v>37</v>
      </c>
      <c r="B31" s="23" t="s">
        <v>38</v>
      </c>
      <c r="C31" s="24">
        <v>20.0</v>
      </c>
      <c r="D31" s="25" t="s">
        <v>146</v>
      </c>
      <c r="E31" s="26" t="s">
        <v>147</v>
      </c>
      <c r="F31" s="24">
        <v>0.0</v>
      </c>
      <c r="G31" s="27" t="s">
        <v>36</v>
      </c>
      <c r="H31" s="28">
        <v>1993.0</v>
      </c>
      <c r="I31" s="2"/>
      <c r="J31" s="2"/>
      <c r="K31" s="17" t="s">
        <v>148</v>
      </c>
      <c r="L31" s="17" t="s">
        <v>62</v>
      </c>
      <c r="M31" s="17">
        <v>1.0</v>
      </c>
      <c r="N31" s="17" t="s">
        <v>149</v>
      </c>
      <c r="O31" s="17" t="s">
        <v>150</v>
      </c>
      <c r="P31" s="17">
        <v>1.0</v>
      </c>
      <c r="Q31" s="17" t="s">
        <v>31</v>
      </c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16" t="s">
        <v>151</v>
      </c>
      <c r="B32" s="19"/>
      <c r="C32" s="31">
        <v>120.0</v>
      </c>
      <c r="D32" s="3" t="s">
        <v>152</v>
      </c>
      <c r="E32" s="3" t="s">
        <v>153</v>
      </c>
      <c r="F32" s="6">
        <v>50.0</v>
      </c>
      <c r="G32" s="21" t="s">
        <v>154</v>
      </c>
      <c r="H32" s="6">
        <v>1993.0</v>
      </c>
      <c r="I32" s="2"/>
      <c r="J32" s="2"/>
      <c r="K32" s="17" t="s">
        <v>56</v>
      </c>
      <c r="L32" s="17" t="s">
        <v>57</v>
      </c>
      <c r="M32" s="17">
        <v>19.0</v>
      </c>
      <c r="N32" s="17" t="s">
        <v>155</v>
      </c>
      <c r="O32" s="17" t="s">
        <v>156</v>
      </c>
      <c r="P32" s="17">
        <v>6.0</v>
      </c>
      <c r="Q32" s="17" t="s">
        <v>157</v>
      </c>
      <c r="R32" s="17"/>
      <c r="S32" s="2"/>
      <c r="T32" s="2"/>
      <c r="U32" s="2"/>
      <c r="V32" s="2"/>
      <c r="W32" s="2"/>
      <c r="X32" s="2"/>
      <c r="Y32" s="2"/>
      <c r="Z32" s="2"/>
    </row>
    <row r="33" ht="22.5" customHeight="1">
      <c r="A33" s="22" t="s">
        <v>46</v>
      </c>
      <c r="B33" s="23" t="s">
        <v>47</v>
      </c>
      <c r="C33" s="24">
        <v>41.0</v>
      </c>
      <c r="D33" s="25" t="s">
        <v>158</v>
      </c>
      <c r="E33" s="26" t="s">
        <v>159</v>
      </c>
      <c r="F33" s="24">
        <v>29.0</v>
      </c>
      <c r="G33" s="27" t="s">
        <v>50</v>
      </c>
      <c r="H33" s="28">
        <v>1993.0</v>
      </c>
      <c r="I33" s="2"/>
      <c r="J33" s="2"/>
      <c r="K33" s="17" t="s">
        <v>160</v>
      </c>
      <c r="L33" s="32"/>
      <c r="M33" s="32">
        <v>120.0</v>
      </c>
      <c r="N33" s="17" t="s">
        <v>161</v>
      </c>
      <c r="O33" s="17" t="s">
        <v>162</v>
      </c>
      <c r="P33" s="17">
        <v>69.0</v>
      </c>
      <c r="Q33" s="17" t="s">
        <v>163</v>
      </c>
      <c r="R33" s="17"/>
      <c r="S33" s="17"/>
      <c r="T33" s="2"/>
      <c r="U33" s="2"/>
      <c r="V33" s="2"/>
      <c r="W33" s="2"/>
      <c r="X33" s="2"/>
      <c r="Y33" s="2"/>
      <c r="Z33" s="2"/>
    </row>
    <row r="34" ht="22.5" customHeight="1">
      <c r="A34" s="22" t="s">
        <v>51</v>
      </c>
      <c r="B34" s="23" t="s">
        <v>52</v>
      </c>
      <c r="C34" s="29">
        <v>29.0</v>
      </c>
      <c r="D34" s="25" t="s">
        <v>164</v>
      </c>
      <c r="E34" s="26" t="s">
        <v>165</v>
      </c>
      <c r="F34" s="29">
        <v>15.0</v>
      </c>
      <c r="G34" s="30" t="s">
        <v>166</v>
      </c>
      <c r="H34" s="28">
        <v>1993.0</v>
      </c>
      <c r="I34" s="2"/>
      <c r="J34" s="2"/>
      <c r="K34" s="17" t="s">
        <v>12</v>
      </c>
      <c r="L34" s="17" t="s">
        <v>13</v>
      </c>
      <c r="M34" s="17">
        <v>55.0</v>
      </c>
      <c r="N34" s="17" t="s">
        <v>167</v>
      </c>
      <c r="O34" s="17" t="s">
        <v>168</v>
      </c>
      <c r="P34" s="17">
        <v>38.0</v>
      </c>
      <c r="Q34" s="17" t="s">
        <v>16</v>
      </c>
      <c r="R34" s="17"/>
      <c r="S34" s="17"/>
      <c r="T34" s="2"/>
      <c r="U34" s="2"/>
      <c r="V34" s="2"/>
      <c r="W34" s="2"/>
      <c r="X34" s="2"/>
      <c r="Y34" s="2"/>
      <c r="Z34" s="2"/>
    </row>
    <row r="35" ht="22.5" customHeight="1">
      <c r="A35" s="22" t="s">
        <v>169</v>
      </c>
      <c r="B35" s="23" t="s">
        <v>170</v>
      </c>
      <c r="C35" s="24">
        <v>24.0</v>
      </c>
      <c r="D35" s="25" t="s">
        <v>171</v>
      </c>
      <c r="E35" s="26" t="s">
        <v>172</v>
      </c>
      <c r="F35" s="24">
        <v>2.0</v>
      </c>
      <c r="G35" s="27" t="s">
        <v>102</v>
      </c>
      <c r="H35" s="28">
        <v>1993.0</v>
      </c>
      <c r="I35" s="2"/>
      <c r="J35" s="2"/>
      <c r="K35" s="17" t="s">
        <v>17</v>
      </c>
      <c r="L35" s="17" t="s">
        <v>18</v>
      </c>
      <c r="M35" s="17">
        <v>29.0</v>
      </c>
      <c r="N35" s="17" t="s">
        <v>173</v>
      </c>
      <c r="O35" s="17" t="s">
        <v>174</v>
      </c>
      <c r="P35" s="17">
        <v>16.0</v>
      </c>
      <c r="Q35" s="17" t="s">
        <v>21</v>
      </c>
      <c r="R35" s="17"/>
      <c r="S35" s="17"/>
      <c r="T35" s="2"/>
      <c r="U35" s="2"/>
      <c r="V35" s="2"/>
      <c r="W35" s="2"/>
      <c r="X35" s="2"/>
      <c r="Y35" s="2"/>
      <c r="Z35" s="2"/>
    </row>
    <row r="36" ht="22.5" customHeight="1">
      <c r="A36" s="22" t="s">
        <v>148</v>
      </c>
      <c r="B36" s="23" t="s">
        <v>62</v>
      </c>
      <c r="C36" s="29">
        <v>1.0</v>
      </c>
      <c r="D36" s="25" t="s">
        <v>175</v>
      </c>
      <c r="E36" s="26" t="s">
        <v>176</v>
      </c>
      <c r="F36" s="29">
        <v>0.0</v>
      </c>
      <c r="G36" s="30" t="s">
        <v>36</v>
      </c>
      <c r="H36" s="28">
        <v>1993.0</v>
      </c>
      <c r="I36" s="2"/>
      <c r="J36" s="2"/>
      <c r="K36" s="17" t="s">
        <v>177</v>
      </c>
      <c r="L36" s="17" t="s">
        <v>178</v>
      </c>
      <c r="M36" s="17">
        <v>26.0</v>
      </c>
      <c r="N36" s="17" t="s">
        <v>179</v>
      </c>
      <c r="O36" s="17" t="s">
        <v>180</v>
      </c>
      <c r="P36" s="17">
        <v>11.0</v>
      </c>
      <c r="Q36" s="17" t="s">
        <v>55</v>
      </c>
      <c r="R36" s="17"/>
      <c r="S36" s="17"/>
      <c r="T36" s="2"/>
      <c r="U36" s="2"/>
      <c r="V36" s="2"/>
      <c r="W36" s="2"/>
      <c r="X36" s="2"/>
      <c r="Y36" s="2"/>
      <c r="Z36" s="2"/>
    </row>
    <row r="37" ht="22.5" customHeight="1">
      <c r="A37" s="22" t="s">
        <v>181</v>
      </c>
      <c r="B37" s="23" t="s">
        <v>96</v>
      </c>
      <c r="C37" s="24">
        <v>1.0</v>
      </c>
      <c r="D37" s="25">
        <v>2688.0</v>
      </c>
      <c r="E37" s="26" t="s">
        <v>182</v>
      </c>
      <c r="F37" s="24">
        <v>0.0</v>
      </c>
      <c r="G37" s="27" t="s">
        <v>36</v>
      </c>
      <c r="H37" s="28">
        <v>1993.0</v>
      </c>
      <c r="I37" s="2"/>
      <c r="J37" s="2"/>
      <c r="K37" s="17" t="s">
        <v>183</v>
      </c>
      <c r="L37" s="17" t="s">
        <v>108</v>
      </c>
      <c r="M37" s="17">
        <v>8.0</v>
      </c>
      <c r="N37" s="17" t="s">
        <v>184</v>
      </c>
      <c r="O37" s="17" t="s">
        <v>185</v>
      </c>
      <c r="P37" s="17">
        <v>4.0</v>
      </c>
      <c r="Q37" s="17" t="s">
        <v>186</v>
      </c>
      <c r="R37" s="17"/>
      <c r="S37" s="2"/>
      <c r="T37" s="2"/>
      <c r="U37" s="2"/>
      <c r="V37" s="2"/>
      <c r="W37" s="2"/>
      <c r="X37" s="2"/>
      <c r="Y37" s="2"/>
      <c r="Z37" s="2"/>
    </row>
    <row r="38" ht="22.5" customHeight="1">
      <c r="A38" s="22" t="s">
        <v>56</v>
      </c>
      <c r="B38" s="23" t="s">
        <v>57</v>
      </c>
      <c r="C38" s="29">
        <v>24.0</v>
      </c>
      <c r="D38" s="25" t="s">
        <v>187</v>
      </c>
      <c r="E38" s="26" t="s">
        <v>188</v>
      </c>
      <c r="F38" s="29">
        <v>4.0</v>
      </c>
      <c r="G38" s="30" t="s">
        <v>186</v>
      </c>
      <c r="H38" s="28">
        <v>1993.0</v>
      </c>
      <c r="I38" s="2"/>
      <c r="J38" s="2"/>
      <c r="K38" s="17" t="s">
        <v>189</v>
      </c>
      <c r="L38" s="17" t="s">
        <v>190</v>
      </c>
      <c r="M38" s="17">
        <v>2.0</v>
      </c>
      <c r="N38" s="17" t="s">
        <v>191</v>
      </c>
      <c r="O38" s="17" t="s">
        <v>192</v>
      </c>
      <c r="P38" s="17">
        <v>0.0</v>
      </c>
      <c r="Q38" s="17" t="s">
        <v>193</v>
      </c>
      <c r="R38" s="2"/>
      <c r="S38" s="17"/>
      <c r="T38" s="2"/>
      <c r="U38" s="2"/>
      <c r="V38" s="2"/>
      <c r="W38" s="2"/>
      <c r="X38" s="2"/>
      <c r="Y38" s="2"/>
      <c r="Z38" s="2"/>
    </row>
    <row r="39" ht="22.5" customHeight="1">
      <c r="A39" s="16" t="s">
        <v>194</v>
      </c>
      <c r="B39" s="19"/>
      <c r="C39" s="31">
        <v>48.0</v>
      </c>
      <c r="D39" s="20" t="s">
        <v>195</v>
      </c>
      <c r="E39" s="3" t="s">
        <v>196</v>
      </c>
      <c r="F39" s="6">
        <v>0.0</v>
      </c>
      <c r="G39" s="21" t="s">
        <v>36</v>
      </c>
      <c r="H39" s="6">
        <v>1993.0</v>
      </c>
      <c r="I39" s="2"/>
      <c r="J39" s="2"/>
      <c r="K39" s="17" t="s">
        <v>197</v>
      </c>
      <c r="L39" s="17"/>
      <c r="M39" s="17">
        <v>86.0</v>
      </c>
      <c r="N39" s="17" t="s">
        <v>198</v>
      </c>
      <c r="O39" s="17" t="s">
        <v>199</v>
      </c>
      <c r="P39" s="17">
        <v>0.0</v>
      </c>
      <c r="Q39" s="17" t="s">
        <v>193</v>
      </c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22" t="s">
        <v>200</v>
      </c>
      <c r="B40" s="23" t="s">
        <v>201</v>
      </c>
      <c r="C40" s="29">
        <v>31.0</v>
      </c>
      <c r="D40" s="25" t="s">
        <v>202</v>
      </c>
      <c r="E40" s="26" t="s">
        <v>203</v>
      </c>
      <c r="F40" s="29">
        <v>0.0</v>
      </c>
      <c r="G40" s="30" t="s">
        <v>36</v>
      </c>
      <c r="H40" s="28">
        <v>1993.0</v>
      </c>
      <c r="I40" s="2"/>
      <c r="J40" s="2"/>
      <c r="K40" s="17" t="s">
        <v>204</v>
      </c>
      <c r="L40" s="17" t="s">
        <v>133</v>
      </c>
      <c r="M40" s="17">
        <v>65.0</v>
      </c>
      <c r="N40" s="17" t="s">
        <v>205</v>
      </c>
      <c r="O40" s="17" t="s">
        <v>206</v>
      </c>
      <c r="P40" s="17">
        <v>0.0</v>
      </c>
      <c r="Q40" s="17" t="s">
        <v>193</v>
      </c>
      <c r="R40" s="17"/>
      <c r="S40" s="17"/>
      <c r="T40" s="2"/>
      <c r="U40" s="2"/>
      <c r="V40" s="2"/>
      <c r="W40" s="2"/>
      <c r="X40" s="2"/>
      <c r="Y40" s="2"/>
      <c r="Z40" s="2"/>
    </row>
    <row r="41" ht="22.5" customHeight="1">
      <c r="A41" s="22" t="s">
        <v>207</v>
      </c>
      <c r="B41" s="23" t="s">
        <v>208</v>
      </c>
      <c r="C41" s="24">
        <v>1.0</v>
      </c>
      <c r="D41" s="25">
        <v>2215.0</v>
      </c>
      <c r="E41" s="26" t="s">
        <v>209</v>
      </c>
      <c r="F41" s="24">
        <v>0.0</v>
      </c>
      <c r="G41" s="27" t="s">
        <v>36</v>
      </c>
      <c r="H41" s="28">
        <v>1993.0</v>
      </c>
      <c r="I41" s="2"/>
      <c r="J41" s="2"/>
      <c r="K41" s="17" t="s">
        <v>210</v>
      </c>
      <c r="L41" s="17" t="s">
        <v>211</v>
      </c>
      <c r="M41" s="17">
        <v>8.0</v>
      </c>
      <c r="N41" s="17">
        <v>8971.0</v>
      </c>
      <c r="O41" s="17" t="s">
        <v>90</v>
      </c>
      <c r="P41" s="17">
        <v>0.0</v>
      </c>
      <c r="Q41" s="17" t="s">
        <v>193</v>
      </c>
      <c r="R41" s="2"/>
      <c r="S41" s="17"/>
      <c r="T41" s="2"/>
      <c r="U41" s="2"/>
      <c r="V41" s="2"/>
      <c r="W41" s="2"/>
      <c r="X41" s="2"/>
      <c r="Y41" s="2"/>
      <c r="Z41" s="2"/>
    </row>
    <row r="42" ht="22.5" customHeight="1">
      <c r="A42" s="22" t="s">
        <v>189</v>
      </c>
      <c r="B42" s="23" t="s">
        <v>190</v>
      </c>
      <c r="C42" s="29">
        <v>16.0</v>
      </c>
      <c r="D42" s="25" t="s">
        <v>212</v>
      </c>
      <c r="E42" s="26" t="s">
        <v>213</v>
      </c>
      <c r="F42" s="29">
        <v>0.0</v>
      </c>
      <c r="G42" s="30" t="s">
        <v>36</v>
      </c>
      <c r="H42" s="28">
        <v>1993.0</v>
      </c>
      <c r="I42" s="2"/>
      <c r="J42" s="2"/>
      <c r="K42" s="17" t="s">
        <v>76</v>
      </c>
      <c r="L42" s="17" t="s">
        <v>77</v>
      </c>
      <c r="M42" s="17">
        <v>13.0</v>
      </c>
      <c r="N42" s="17" t="s">
        <v>214</v>
      </c>
      <c r="O42" s="17" t="s">
        <v>215</v>
      </c>
      <c r="P42" s="17">
        <v>0.0</v>
      </c>
      <c r="Q42" s="17" t="s">
        <v>193</v>
      </c>
      <c r="R42" s="17"/>
      <c r="S42" s="17"/>
      <c r="T42" s="2"/>
      <c r="U42" s="2"/>
      <c r="V42" s="2"/>
      <c r="W42" s="2"/>
      <c r="X42" s="2"/>
      <c r="Y42" s="2"/>
      <c r="Z42" s="2"/>
    </row>
    <row r="43" ht="22.5" customHeight="1">
      <c r="A43" s="16" t="s">
        <v>216</v>
      </c>
      <c r="B43" s="19"/>
      <c r="C43" s="31">
        <v>120.0</v>
      </c>
      <c r="D43" s="20" t="s">
        <v>217</v>
      </c>
      <c r="E43" s="3" t="s">
        <v>218</v>
      </c>
      <c r="F43" s="33">
        <v>70.0</v>
      </c>
      <c r="G43" s="21" t="s">
        <v>219</v>
      </c>
      <c r="H43" s="6">
        <v>1993.0</v>
      </c>
      <c r="I43" s="2"/>
      <c r="J43" s="2"/>
      <c r="K43" s="17" t="s">
        <v>220</v>
      </c>
      <c r="L43" s="17"/>
      <c r="M43" s="17">
        <v>25.0</v>
      </c>
      <c r="N43" s="17" t="s">
        <v>221</v>
      </c>
      <c r="O43" s="17" t="s">
        <v>222</v>
      </c>
      <c r="P43" s="17">
        <v>2.0</v>
      </c>
      <c r="Q43" s="17" t="s">
        <v>102</v>
      </c>
      <c r="R43" s="17"/>
      <c r="S43" s="17"/>
      <c r="T43" s="2"/>
      <c r="U43" s="2"/>
      <c r="V43" s="2"/>
      <c r="W43" s="2"/>
      <c r="X43" s="2"/>
      <c r="Y43" s="2"/>
      <c r="Z43" s="2"/>
    </row>
    <row r="44" ht="22.5" customHeight="1">
      <c r="A44" s="22" t="s">
        <v>12</v>
      </c>
      <c r="B44" s="23" t="s">
        <v>223</v>
      </c>
      <c r="C44" s="29">
        <v>48.0</v>
      </c>
      <c r="D44" s="25" t="s">
        <v>224</v>
      </c>
      <c r="E44" s="26" t="s">
        <v>225</v>
      </c>
      <c r="F44" s="29">
        <v>37.0</v>
      </c>
      <c r="G44" s="30" t="s">
        <v>226</v>
      </c>
      <c r="H44" s="28">
        <v>1993.0</v>
      </c>
      <c r="I44" s="2"/>
      <c r="J44" s="2"/>
      <c r="K44" s="17" t="s">
        <v>227</v>
      </c>
      <c r="L44" s="17" t="s">
        <v>228</v>
      </c>
      <c r="M44" s="17">
        <v>13.0</v>
      </c>
      <c r="N44" s="17" t="s">
        <v>229</v>
      </c>
      <c r="O44" s="17" t="s">
        <v>230</v>
      </c>
      <c r="P44" s="17">
        <v>2.0</v>
      </c>
      <c r="Q44" s="17" t="s">
        <v>102</v>
      </c>
      <c r="R44" s="17"/>
      <c r="S44" s="17"/>
      <c r="T44" s="2"/>
      <c r="U44" s="2"/>
      <c r="V44" s="2"/>
      <c r="W44" s="2"/>
      <c r="X44" s="2"/>
      <c r="Y44" s="2"/>
      <c r="Z44" s="2"/>
    </row>
    <row r="45" ht="22.5" customHeight="1">
      <c r="A45" s="22" t="s">
        <v>177</v>
      </c>
      <c r="B45" s="23" t="s">
        <v>178</v>
      </c>
      <c r="C45" s="24">
        <v>28.0</v>
      </c>
      <c r="D45" s="25" t="s">
        <v>231</v>
      </c>
      <c r="E45" s="26" t="s">
        <v>232</v>
      </c>
      <c r="F45" s="24">
        <v>15.0</v>
      </c>
      <c r="G45" s="27" t="s">
        <v>166</v>
      </c>
      <c r="H45" s="28">
        <v>1993.0</v>
      </c>
      <c r="I45" s="2"/>
      <c r="J45" s="2"/>
      <c r="K45" s="17" t="s">
        <v>91</v>
      </c>
      <c r="L45" s="17" t="s">
        <v>92</v>
      </c>
      <c r="M45" s="17">
        <v>12.0</v>
      </c>
      <c r="N45" s="17" t="s">
        <v>233</v>
      </c>
      <c r="O45" s="17" t="s">
        <v>234</v>
      </c>
      <c r="P45" s="17">
        <v>0.0</v>
      </c>
      <c r="Q45" s="17" t="s">
        <v>193</v>
      </c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22" t="s">
        <v>17</v>
      </c>
      <c r="B46" s="23" t="s">
        <v>18</v>
      </c>
      <c r="C46" s="29">
        <v>25.0</v>
      </c>
      <c r="D46" s="25" t="s">
        <v>235</v>
      </c>
      <c r="E46" s="26" t="s">
        <v>236</v>
      </c>
      <c r="F46" s="29">
        <v>15.0</v>
      </c>
      <c r="G46" s="30" t="s">
        <v>166</v>
      </c>
      <c r="H46" s="28">
        <v>1993.0</v>
      </c>
      <c r="I46" s="2"/>
      <c r="J46" s="2"/>
      <c r="K46" s="17" t="s">
        <v>117</v>
      </c>
      <c r="L46" s="17" t="s">
        <v>118</v>
      </c>
      <c r="M46" s="17">
        <v>2.0</v>
      </c>
      <c r="N46" s="17" t="s">
        <v>237</v>
      </c>
      <c r="O46" s="17" t="s">
        <v>86</v>
      </c>
      <c r="P46" s="17">
        <v>2.0</v>
      </c>
      <c r="Q46" s="17" t="s">
        <v>102</v>
      </c>
      <c r="R46" s="17"/>
      <c r="S46" s="17"/>
      <c r="T46" s="2"/>
      <c r="U46" s="2"/>
      <c r="V46" s="2"/>
      <c r="W46" s="2"/>
      <c r="X46" s="2"/>
      <c r="Y46" s="2"/>
      <c r="Z46" s="2"/>
    </row>
    <row r="47" ht="22.5" customHeight="1">
      <c r="A47" s="22" t="s">
        <v>22</v>
      </c>
      <c r="B47" s="23" t="s">
        <v>23</v>
      </c>
      <c r="C47" s="24">
        <v>11.0</v>
      </c>
      <c r="D47" s="25" t="s">
        <v>238</v>
      </c>
      <c r="E47" s="26" t="s">
        <v>239</v>
      </c>
      <c r="F47" s="24">
        <v>2.0</v>
      </c>
      <c r="G47" s="27" t="s">
        <v>102</v>
      </c>
      <c r="H47" s="28">
        <v>1993.0</v>
      </c>
      <c r="I47" s="2"/>
      <c r="J47" s="2"/>
      <c r="K47" s="17"/>
      <c r="L47" s="17"/>
      <c r="M47" s="1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22" t="s">
        <v>240</v>
      </c>
      <c r="B48" s="23" t="s">
        <v>241</v>
      </c>
      <c r="C48" s="29">
        <v>4.0</v>
      </c>
      <c r="D48" s="25" t="s">
        <v>242</v>
      </c>
      <c r="E48" s="26" t="s">
        <v>98</v>
      </c>
      <c r="F48" s="29">
        <v>0.0</v>
      </c>
      <c r="G48" s="30" t="s">
        <v>36</v>
      </c>
      <c r="H48" s="28">
        <v>1993.0</v>
      </c>
      <c r="I48" s="2"/>
      <c r="J48" s="2"/>
      <c r="K48" s="17"/>
      <c r="L48" s="17"/>
      <c r="M48" s="1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22" t="s">
        <v>76</v>
      </c>
      <c r="B49" s="23" t="s">
        <v>77</v>
      </c>
      <c r="C49" s="24">
        <v>4.0</v>
      </c>
      <c r="D49" s="25" t="s">
        <v>243</v>
      </c>
      <c r="E49" s="26" t="s">
        <v>244</v>
      </c>
      <c r="F49" s="24">
        <v>1.0</v>
      </c>
      <c r="G49" s="27" t="s">
        <v>31</v>
      </c>
      <c r="H49" s="28">
        <v>1993.0</v>
      </c>
      <c r="I49" s="2"/>
      <c r="J49" s="2"/>
      <c r="K49" s="34"/>
      <c r="L49" s="34"/>
      <c r="M49" s="34"/>
      <c r="N49" s="35"/>
      <c r="O49" s="35"/>
      <c r="P49" s="35"/>
      <c r="Q49" s="35"/>
      <c r="R49" s="35"/>
      <c r="S49" s="35"/>
      <c r="T49" s="35"/>
      <c r="U49" s="2"/>
      <c r="V49" s="2"/>
      <c r="W49" s="2"/>
      <c r="X49" s="2"/>
      <c r="Y49" s="2"/>
      <c r="Z49" s="2"/>
    </row>
    <row r="50" ht="22.5" customHeight="1">
      <c r="A50" s="16" t="s">
        <v>117</v>
      </c>
      <c r="B50" s="11" t="s">
        <v>118</v>
      </c>
      <c r="C50" s="6">
        <v>4.0</v>
      </c>
      <c r="D50" s="3">
        <v>7104.0</v>
      </c>
      <c r="E50" s="3" t="s">
        <v>245</v>
      </c>
      <c r="F50" s="6">
        <v>0.0</v>
      </c>
      <c r="G50" s="20" t="s">
        <v>36</v>
      </c>
      <c r="H50" s="6">
        <v>1993.0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20" t="s">
        <v>121</v>
      </c>
      <c r="B51" s="20" t="s">
        <v>122</v>
      </c>
      <c r="C51" s="31">
        <v>90.0</v>
      </c>
      <c r="D51" s="20" t="s">
        <v>123</v>
      </c>
      <c r="E51" s="20" t="s">
        <v>124</v>
      </c>
      <c r="F51" s="31">
        <v>0.0</v>
      </c>
      <c r="G51" s="36">
        <v>0.0</v>
      </c>
      <c r="H51" s="6">
        <v>1997.0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20" t="s">
        <v>128</v>
      </c>
      <c r="B52" s="20"/>
      <c r="C52" s="31">
        <v>119.0</v>
      </c>
      <c r="D52" s="20" t="s">
        <v>129</v>
      </c>
      <c r="E52" s="20" t="s">
        <v>130</v>
      </c>
      <c r="F52" s="31">
        <v>47.0</v>
      </c>
      <c r="G52" s="20" t="s">
        <v>131</v>
      </c>
      <c r="H52" s="6">
        <v>1997.0</v>
      </c>
      <c r="I52" s="2"/>
      <c r="J52" s="2"/>
      <c r="K52" s="34" t="s">
        <v>0</v>
      </c>
      <c r="L52" s="34" t="s">
        <v>1</v>
      </c>
      <c r="M52" s="34" t="s">
        <v>114</v>
      </c>
      <c r="N52" s="34" t="s">
        <v>3</v>
      </c>
      <c r="O52" s="34" t="s">
        <v>115</v>
      </c>
      <c r="P52" s="34" t="s">
        <v>116</v>
      </c>
      <c r="Q52" s="34" t="s">
        <v>115</v>
      </c>
      <c r="R52" s="34"/>
      <c r="S52" s="34"/>
      <c r="T52" s="2"/>
      <c r="U52" s="2"/>
      <c r="V52" s="2"/>
      <c r="W52" s="2"/>
      <c r="X52" s="2"/>
      <c r="Y52" s="2"/>
      <c r="Z52" s="2"/>
    </row>
    <row r="53" ht="22.5" customHeight="1">
      <c r="A53" s="26" t="s">
        <v>46</v>
      </c>
      <c r="B53" s="26" t="s">
        <v>47</v>
      </c>
      <c r="C53" s="37">
        <v>52.0</v>
      </c>
      <c r="D53" s="26" t="s">
        <v>136</v>
      </c>
      <c r="E53" s="26" t="s">
        <v>137</v>
      </c>
      <c r="F53" s="37">
        <v>23.0</v>
      </c>
      <c r="G53" s="26" t="s">
        <v>138</v>
      </c>
      <c r="H53" s="28">
        <v>1997.0</v>
      </c>
      <c r="I53" s="2"/>
      <c r="J53" s="2"/>
      <c r="K53" s="32" t="s">
        <v>246</v>
      </c>
      <c r="L53" s="17" t="s">
        <v>133</v>
      </c>
      <c r="M53" s="17">
        <v>80.0</v>
      </c>
      <c r="N53" s="17" t="s">
        <v>247</v>
      </c>
      <c r="O53" s="17" t="s">
        <v>248</v>
      </c>
      <c r="P53" s="17">
        <v>0.0</v>
      </c>
      <c r="Q53" s="17" t="s">
        <v>36</v>
      </c>
      <c r="R53" s="17"/>
      <c r="S53" s="17"/>
      <c r="T53" s="2"/>
      <c r="U53" s="2"/>
      <c r="V53" s="2"/>
      <c r="W53" s="2"/>
      <c r="X53" s="2"/>
      <c r="Y53" s="2"/>
    </row>
    <row r="54" ht="22.5" customHeight="1">
      <c r="A54" s="26" t="s">
        <v>51</v>
      </c>
      <c r="B54" s="26" t="s">
        <v>52</v>
      </c>
      <c r="C54" s="37">
        <v>47.0</v>
      </c>
      <c r="D54" s="26" t="s">
        <v>143</v>
      </c>
      <c r="E54" s="26" t="s">
        <v>144</v>
      </c>
      <c r="F54" s="37">
        <v>17.0</v>
      </c>
      <c r="G54" s="26" t="s">
        <v>145</v>
      </c>
      <c r="H54" s="28">
        <v>1997.0</v>
      </c>
      <c r="I54" s="2"/>
      <c r="J54" s="2"/>
      <c r="K54" s="32" t="s">
        <v>249</v>
      </c>
      <c r="L54" s="17" t="s">
        <v>28</v>
      </c>
      <c r="M54" s="17">
        <v>42.0</v>
      </c>
      <c r="N54" s="17" t="s">
        <v>250</v>
      </c>
      <c r="O54" s="17" t="s">
        <v>251</v>
      </c>
      <c r="P54" s="17">
        <v>0.0</v>
      </c>
      <c r="Q54" s="17" t="s">
        <v>36</v>
      </c>
      <c r="R54" s="2"/>
      <c r="S54" s="2"/>
      <c r="T54" s="2"/>
      <c r="U54" s="2"/>
      <c r="V54" s="2"/>
      <c r="W54" s="2"/>
      <c r="X54" s="2"/>
      <c r="Y54" s="2"/>
    </row>
    <row r="55" ht="22.5" customHeight="1">
      <c r="A55" s="26" t="s">
        <v>148</v>
      </c>
      <c r="B55" s="26" t="s">
        <v>62</v>
      </c>
      <c r="C55" s="37">
        <v>1.0</v>
      </c>
      <c r="D55" s="26" t="s">
        <v>149</v>
      </c>
      <c r="E55" s="26" t="s">
        <v>150</v>
      </c>
      <c r="F55" s="37">
        <v>1.0</v>
      </c>
      <c r="G55" s="26" t="s">
        <v>31</v>
      </c>
      <c r="H55" s="28">
        <v>1997.0</v>
      </c>
      <c r="I55" s="2"/>
      <c r="J55" s="2"/>
      <c r="K55" s="32" t="s">
        <v>252</v>
      </c>
      <c r="L55" s="2"/>
      <c r="M55" s="17">
        <v>119.0</v>
      </c>
      <c r="N55" s="17" t="s">
        <v>253</v>
      </c>
      <c r="O55" s="17" t="s">
        <v>254</v>
      </c>
      <c r="P55" s="17">
        <v>57.0</v>
      </c>
      <c r="Q55" s="17" t="s">
        <v>255</v>
      </c>
      <c r="R55" s="2"/>
      <c r="S55" s="2"/>
      <c r="T55" s="2"/>
      <c r="U55" s="2"/>
      <c r="V55" s="2"/>
      <c r="W55" s="2"/>
      <c r="X55" s="2"/>
      <c r="Y55" s="2"/>
    </row>
    <row r="56" ht="22.5" customHeight="1">
      <c r="A56" s="26" t="s">
        <v>56</v>
      </c>
      <c r="B56" s="26" t="s">
        <v>57</v>
      </c>
      <c r="C56" s="37">
        <v>19.0</v>
      </c>
      <c r="D56" s="26" t="s">
        <v>155</v>
      </c>
      <c r="E56" s="26" t="s">
        <v>156</v>
      </c>
      <c r="F56" s="37">
        <v>6.0</v>
      </c>
      <c r="G56" s="26" t="s">
        <v>157</v>
      </c>
      <c r="H56" s="28">
        <v>1997.0</v>
      </c>
      <c r="I56" s="2"/>
      <c r="J56" s="2"/>
      <c r="K56" s="17" t="s">
        <v>51</v>
      </c>
      <c r="L56" s="17" t="s">
        <v>52</v>
      </c>
      <c r="M56" s="17">
        <v>54.0</v>
      </c>
      <c r="N56" s="17" t="s">
        <v>256</v>
      </c>
      <c r="O56" s="17" t="s">
        <v>257</v>
      </c>
      <c r="P56" s="17">
        <v>31.0</v>
      </c>
      <c r="Q56" s="17" t="s">
        <v>258</v>
      </c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20" t="s">
        <v>160</v>
      </c>
      <c r="B57" s="20"/>
      <c r="C57" s="31">
        <v>120.0</v>
      </c>
      <c r="D57" s="20" t="s">
        <v>161</v>
      </c>
      <c r="E57" s="20" t="s">
        <v>162</v>
      </c>
      <c r="F57" s="31">
        <v>69.0</v>
      </c>
      <c r="G57" s="20" t="s">
        <v>163</v>
      </c>
      <c r="H57" s="6">
        <v>1997.0</v>
      </c>
      <c r="I57" s="2"/>
      <c r="J57" s="2"/>
      <c r="K57" s="17" t="s">
        <v>46</v>
      </c>
      <c r="L57" s="17" t="s">
        <v>47</v>
      </c>
      <c r="M57" s="17">
        <v>45.0</v>
      </c>
      <c r="N57" s="17" t="s">
        <v>259</v>
      </c>
      <c r="O57" s="17" t="s">
        <v>260</v>
      </c>
      <c r="P57" s="17">
        <v>18.0</v>
      </c>
      <c r="Q57" s="17" t="s">
        <v>261</v>
      </c>
      <c r="R57" s="17"/>
      <c r="S57" s="17"/>
      <c r="T57" s="2"/>
      <c r="U57" s="2"/>
      <c r="V57" s="2"/>
      <c r="W57" s="2"/>
      <c r="X57" s="2"/>
      <c r="Y57" s="2"/>
      <c r="Z57" s="2"/>
    </row>
    <row r="58" ht="22.5" customHeight="1">
      <c r="A58" s="26" t="s">
        <v>12</v>
      </c>
      <c r="B58" s="26" t="s">
        <v>13</v>
      </c>
      <c r="C58" s="37">
        <v>55.0</v>
      </c>
      <c r="D58" s="26" t="s">
        <v>167</v>
      </c>
      <c r="E58" s="26" t="s">
        <v>168</v>
      </c>
      <c r="F58" s="37">
        <v>38.0</v>
      </c>
      <c r="G58" s="26" t="s">
        <v>16</v>
      </c>
      <c r="H58" s="28">
        <v>1997.0</v>
      </c>
      <c r="I58" s="2"/>
      <c r="J58" s="2"/>
      <c r="K58" s="17" t="s">
        <v>189</v>
      </c>
      <c r="L58" s="17" t="s">
        <v>190</v>
      </c>
      <c r="M58" s="17">
        <v>20.0</v>
      </c>
      <c r="N58" s="17" t="s">
        <v>262</v>
      </c>
      <c r="O58" s="17" t="s">
        <v>263</v>
      </c>
      <c r="P58" s="17">
        <v>8.0</v>
      </c>
      <c r="Q58" s="17" t="s">
        <v>60</v>
      </c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26" t="s">
        <v>17</v>
      </c>
      <c r="B59" s="26" t="s">
        <v>18</v>
      </c>
      <c r="C59" s="37">
        <v>29.0</v>
      </c>
      <c r="D59" s="26" t="s">
        <v>173</v>
      </c>
      <c r="E59" s="26" t="s">
        <v>174</v>
      </c>
      <c r="F59" s="37">
        <v>16.0</v>
      </c>
      <c r="G59" s="26" t="s">
        <v>21</v>
      </c>
      <c r="H59" s="28">
        <v>1997.0</v>
      </c>
      <c r="I59" s="2"/>
      <c r="J59" s="2"/>
      <c r="K59" s="32" t="s">
        <v>264</v>
      </c>
      <c r="L59" s="17" t="s">
        <v>84</v>
      </c>
      <c r="M59" s="17">
        <v>4.0</v>
      </c>
      <c r="N59" s="17">
        <v>3475.0</v>
      </c>
      <c r="O59" s="17" t="s">
        <v>265</v>
      </c>
      <c r="P59" s="17">
        <v>0.0</v>
      </c>
      <c r="Q59" s="17" t="s">
        <v>36</v>
      </c>
      <c r="R59" s="2"/>
      <c r="S59" s="2"/>
      <c r="T59" s="2"/>
      <c r="U59" s="2"/>
      <c r="V59" s="2"/>
      <c r="W59" s="2"/>
      <c r="X59" s="2"/>
      <c r="Y59" s="2"/>
    </row>
    <row r="60" ht="22.5" customHeight="1">
      <c r="A60" s="26" t="s">
        <v>177</v>
      </c>
      <c r="B60" s="26" t="s">
        <v>178</v>
      </c>
      <c r="C60" s="37">
        <v>26.0</v>
      </c>
      <c r="D60" s="26" t="s">
        <v>179</v>
      </c>
      <c r="E60" s="26" t="s">
        <v>180</v>
      </c>
      <c r="F60" s="37">
        <v>11.0</v>
      </c>
      <c r="G60" s="26" t="s">
        <v>55</v>
      </c>
      <c r="H60" s="28">
        <v>1997.0</v>
      </c>
      <c r="I60" s="2"/>
      <c r="J60" s="2"/>
      <c r="K60" s="32" t="s">
        <v>266</v>
      </c>
      <c r="L60" s="2"/>
      <c r="M60" s="17">
        <v>120.0</v>
      </c>
      <c r="N60" s="17" t="s">
        <v>267</v>
      </c>
      <c r="O60" s="17" t="s">
        <v>268</v>
      </c>
      <c r="P60" s="17">
        <v>62.0</v>
      </c>
      <c r="Q60" s="17" t="s">
        <v>269</v>
      </c>
      <c r="R60" s="17"/>
      <c r="S60" s="17"/>
      <c r="T60" s="2"/>
      <c r="U60" s="2"/>
      <c r="V60" s="2"/>
      <c r="W60" s="2"/>
      <c r="X60" s="2"/>
      <c r="Y60" s="2"/>
    </row>
    <row r="61" ht="22.5" customHeight="1">
      <c r="A61" s="26" t="s">
        <v>183</v>
      </c>
      <c r="B61" s="26" t="s">
        <v>108</v>
      </c>
      <c r="C61" s="37">
        <v>8.0</v>
      </c>
      <c r="D61" s="26" t="s">
        <v>184</v>
      </c>
      <c r="E61" s="26" t="s">
        <v>185</v>
      </c>
      <c r="F61" s="37">
        <v>4.0</v>
      </c>
      <c r="G61" s="26" t="s">
        <v>186</v>
      </c>
      <c r="H61" s="28">
        <v>1997.0</v>
      </c>
      <c r="I61" s="2"/>
      <c r="J61" s="2"/>
      <c r="K61" s="17" t="s">
        <v>12</v>
      </c>
      <c r="L61" s="17" t="s">
        <v>223</v>
      </c>
      <c r="M61" s="17">
        <v>54.0</v>
      </c>
      <c r="N61" s="17" t="s">
        <v>270</v>
      </c>
      <c r="O61" s="17" t="s">
        <v>271</v>
      </c>
      <c r="P61" s="17">
        <v>23.0</v>
      </c>
      <c r="Q61" s="17" t="s">
        <v>138</v>
      </c>
      <c r="R61" s="17"/>
      <c r="S61" s="17"/>
      <c r="T61" s="2"/>
      <c r="U61" s="2"/>
      <c r="V61" s="2"/>
      <c r="W61" s="2"/>
      <c r="X61" s="2"/>
      <c r="Y61" s="2"/>
      <c r="Z61" s="2"/>
    </row>
    <row r="62" ht="22.5" customHeight="1">
      <c r="A62" s="26" t="s">
        <v>189</v>
      </c>
      <c r="B62" s="26" t="s">
        <v>190</v>
      </c>
      <c r="C62" s="37">
        <v>2.0</v>
      </c>
      <c r="D62" s="26" t="s">
        <v>191</v>
      </c>
      <c r="E62" s="26" t="s">
        <v>192</v>
      </c>
      <c r="F62" s="37">
        <v>0.0</v>
      </c>
      <c r="G62" s="26" t="s">
        <v>193</v>
      </c>
      <c r="H62" s="28">
        <v>1997.0</v>
      </c>
      <c r="I62" s="2"/>
      <c r="J62" s="2"/>
      <c r="K62" s="17" t="s">
        <v>17</v>
      </c>
      <c r="L62" s="17" t="s">
        <v>18</v>
      </c>
      <c r="M62" s="17">
        <v>24.0</v>
      </c>
      <c r="N62" s="17" t="s">
        <v>272</v>
      </c>
      <c r="O62" s="17" t="s">
        <v>273</v>
      </c>
      <c r="P62" s="17">
        <v>20.0</v>
      </c>
      <c r="Q62" s="17" t="s">
        <v>274</v>
      </c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20" t="s">
        <v>197</v>
      </c>
      <c r="B63" s="20"/>
      <c r="C63" s="31">
        <v>86.0</v>
      </c>
      <c r="D63" s="20" t="s">
        <v>198</v>
      </c>
      <c r="E63" s="20" t="s">
        <v>199</v>
      </c>
      <c r="F63" s="31">
        <v>0.0</v>
      </c>
      <c r="G63" s="20" t="s">
        <v>193</v>
      </c>
      <c r="H63" s="6">
        <v>1997.0</v>
      </c>
      <c r="I63" s="2"/>
      <c r="J63" s="2"/>
      <c r="K63" s="17" t="s">
        <v>275</v>
      </c>
      <c r="L63" s="17" t="s">
        <v>178</v>
      </c>
      <c r="M63" s="17">
        <v>21.0</v>
      </c>
      <c r="N63" s="17" t="s">
        <v>276</v>
      </c>
      <c r="O63" s="17" t="s">
        <v>277</v>
      </c>
      <c r="P63" s="17">
        <v>10.0</v>
      </c>
      <c r="Q63" s="17" t="s">
        <v>278</v>
      </c>
      <c r="R63" s="17"/>
      <c r="S63" s="17"/>
      <c r="T63" s="2"/>
      <c r="U63" s="2"/>
      <c r="V63" s="2"/>
      <c r="W63" s="2"/>
      <c r="X63" s="2"/>
      <c r="Y63" s="2"/>
      <c r="Z63" s="2"/>
    </row>
    <row r="64" ht="22.5" customHeight="1">
      <c r="A64" s="26" t="s">
        <v>204</v>
      </c>
      <c r="B64" s="26" t="s">
        <v>133</v>
      </c>
      <c r="C64" s="37">
        <v>65.0</v>
      </c>
      <c r="D64" s="26" t="s">
        <v>205</v>
      </c>
      <c r="E64" s="26" t="s">
        <v>206</v>
      </c>
      <c r="F64" s="37">
        <v>0.0</v>
      </c>
      <c r="G64" s="26" t="s">
        <v>193</v>
      </c>
      <c r="H64" s="28">
        <v>1997.0</v>
      </c>
      <c r="I64" s="2"/>
      <c r="J64" s="2"/>
      <c r="K64" s="17" t="s">
        <v>183</v>
      </c>
      <c r="L64" s="17" t="s">
        <v>108</v>
      </c>
      <c r="M64" s="17">
        <v>14.0</v>
      </c>
      <c r="N64" s="17" t="s">
        <v>279</v>
      </c>
      <c r="O64" s="17" t="s">
        <v>280</v>
      </c>
      <c r="P64" s="17">
        <v>6.0</v>
      </c>
      <c r="Q64" s="17" t="s">
        <v>281</v>
      </c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26" t="s">
        <v>210</v>
      </c>
      <c r="B65" s="26" t="s">
        <v>211</v>
      </c>
      <c r="C65" s="37">
        <v>8.0</v>
      </c>
      <c r="D65" s="26">
        <v>8971.0</v>
      </c>
      <c r="E65" s="26" t="s">
        <v>90</v>
      </c>
      <c r="F65" s="37">
        <v>0.0</v>
      </c>
      <c r="G65" s="26" t="s">
        <v>193</v>
      </c>
      <c r="H65" s="28">
        <v>1997.0</v>
      </c>
      <c r="I65" s="2"/>
      <c r="J65" s="2"/>
      <c r="K65" s="17" t="s">
        <v>91</v>
      </c>
      <c r="L65" s="17" t="s">
        <v>92</v>
      </c>
      <c r="M65" s="17">
        <v>7.0</v>
      </c>
      <c r="N65" s="17" t="s">
        <v>282</v>
      </c>
      <c r="O65" s="17" t="s">
        <v>283</v>
      </c>
      <c r="P65" s="17">
        <v>3.0</v>
      </c>
      <c r="Q65" s="17" t="s">
        <v>284</v>
      </c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26" t="s">
        <v>76</v>
      </c>
      <c r="B66" s="26" t="s">
        <v>77</v>
      </c>
      <c r="C66" s="37">
        <v>13.0</v>
      </c>
      <c r="D66" s="26" t="s">
        <v>214</v>
      </c>
      <c r="E66" s="26" t="s">
        <v>215</v>
      </c>
      <c r="F66" s="37">
        <v>0.0</v>
      </c>
      <c r="G66" s="26" t="s">
        <v>193</v>
      </c>
      <c r="H66" s="28">
        <v>1997.0</v>
      </c>
      <c r="I66" s="2"/>
      <c r="J66" s="2"/>
      <c r="K66" s="17" t="s">
        <v>117</v>
      </c>
      <c r="L66" s="17" t="s">
        <v>118</v>
      </c>
      <c r="M66" s="17">
        <v>16.0</v>
      </c>
      <c r="N66" s="17" t="s">
        <v>285</v>
      </c>
      <c r="O66" s="17" t="s">
        <v>286</v>
      </c>
      <c r="P66" s="17">
        <v>1.0</v>
      </c>
      <c r="Q66" s="17" t="s">
        <v>31</v>
      </c>
      <c r="R66" s="2"/>
      <c r="S66" s="17"/>
      <c r="T66" s="2"/>
      <c r="U66" s="2"/>
      <c r="V66" s="2"/>
      <c r="W66" s="2"/>
      <c r="X66" s="2"/>
      <c r="Y66" s="2"/>
      <c r="Z66" s="2"/>
    </row>
    <row r="67" ht="22.5" customHeight="1">
      <c r="A67" s="20" t="s">
        <v>220</v>
      </c>
      <c r="B67" s="20"/>
      <c r="C67" s="31">
        <v>25.0</v>
      </c>
      <c r="D67" s="20" t="s">
        <v>221</v>
      </c>
      <c r="E67" s="20" t="s">
        <v>222</v>
      </c>
      <c r="F67" s="31">
        <v>2.0</v>
      </c>
      <c r="G67" s="20" t="s">
        <v>102</v>
      </c>
      <c r="H67" s="6">
        <v>1997.0</v>
      </c>
      <c r="I67" s="2"/>
      <c r="J67" s="2"/>
      <c r="K67" s="17"/>
      <c r="L67" s="17"/>
      <c r="M67" s="1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26" t="s">
        <v>227</v>
      </c>
      <c r="B68" s="26" t="s">
        <v>228</v>
      </c>
      <c r="C68" s="37">
        <v>13.0</v>
      </c>
      <c r="D68" s="26" t="s">
        <v>229</v>
      </c>
      <c r="E68" s="26" t="s">
        <v>230</v>
      </c>
      <c r="F68" s="37">
        <v>2.0</v>
      </c>
      <c r="G68" s="26" t="s">
        <v>102</v>
      </c>
      <c r="H68" s="28">
        <v>1997.0</v>
      </c>
      <c r="I68" s="2"/>
      <c r="J68" s="2"/>
      <c r="K68" s="17"/>
      <c r="L68" s="17"/>
      <c r="M68" s="1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26" t="s">
        <v>91</v>
      </c>
      <c r="B69" s="26" t="s">
        <v>92</v>
      </c>
      <c r="C69" s="37">
        <v>12.0</v>
      </c>
      <c r="D69" s="26" t="s">
        <v>233</v>
      </c>
      <c r="E69" s="26" t="s">
        <v>234</v>
      </c>
      <c r="F69" s="37">
        <v>0.0</v>
      </c>
      <c r="G69" s="26" t="s">
        <v>193</v>
      </c>
      <c r="H69" s="28">
        <v>1997.0</v>
      </c>
      <c r="I69" s="2"/>
      <c r="J69" s="2"/>
      <c r="K69" s="17"/>
      <c r="L69" s="17"/>
      <c r="M69" s="1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20" t="s">
        <v>117</v>
      </c>
      <c r="B70" s="20" t="s">
        <v>118</v>
      </c>
      <c r="C70" s="31">
        <v>2.0</v>
      </c>
      <c r="D70" s="20" t="s">
        <v>237</v>
      </c>
      <c r="E70" s="20" t="s">
        <v>86</v>
      </c>
      <c r="F70" s="31">
        <v>2.0</v>
      </c>
      <c r="G70" s="20" t="s">
        <v>102</v>
      </c>
      <c r="H70" s="6">
        <v>1997.0</v>
      </c>
      <c r="I70" s="2"/>
      <c r="J70" s="2"/>
      <c r="K70" s="17"/>
      <c r="L70" s="17"/>
      <c r="M70" s="1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20" t="s">
        <v>246</v>
      </c>
      <c r="B71" s="20" t="s">
        <v>133</v>
      </c>
      <c r="C71" s="31">
        <v>80.0</v>
      </c>
      <c r="D71" s="20" t="s">
        <v>247</v>
      </c>
      <c r="E71" s="20" t="s">
        <v>248</v>
      </c>
      <c r="F71" s="31">
        <v>0.0</v>
      </c>
      <c r="G71" s="20" t="s">
        <v>36</v>
      </c>
      <c r="H71" s="31">
        <v>2001.0</v>
      </c>
      <c r="I71" s="2"/>
      <c r="J71" s="38"/>
      <c r="K71" s="39" t="s">
        <v>0</v>
      </c>
      <c r="L71" s="39" t="s">
        <v>1</v>
      </c>
      <c r="M71" s="39" t="s">
        <v>114</v>
      </c>
      <c r="N71" s="39" t="s">
        <v>3</v>
      </c>
      <c r="O71" s="39" t="s">
        <v>115</v>
      </c>
      <c r="P71" s="39" t="s">
        <v>116</v>
      </c>
      <c r="Q71" s="39" t="s">
        <v>115</v>
      </c>
      <c r="R71" s="17"/>
      <c r="S71" s="17"/>
      <c r="T71" s="2"/>
      <c r="U71" s="2"/>
      <c r="V71" s="2"/>
      <c r="W71" s="2"/>
      <c r="X71" s="2"/>
      <c r="Y71" s="2"/>
      <c r="Z71" s="2"/>
    </row>
    <row r="72" ht="22.5" customHeight="1">
      <c r="A72" s="20" t="s">
        <v>249</v>
      </c>
      <c r="B72" s="20" t="s">
        <v>28</v>
      </c>
      <c r="C72" s="31">
        <v>42.0</v>
      </c>
      <c r="D72" s="20" t="s">
        <v>250</v>
      </c>
      <c r="E72" s="20" t="s">
        <v>251</v>
      </c>
      <c r="F72" s="31">
        <v>0.0</v>
      </c>
      <c r="G72" s="20" t="s">
        <v>36</v>
      </c>
      <c r="H72" s="31">
        <v>2001.0</v>
      </c>
      <c r="I72" s="2"/>
      <c r="J72" s="2"/>
      <c r="K72" s="17" t="s">
        <v>287</v>
      </c>
      <c r="L72" s="17" t="s">
        <v>288</v>
      </c>
      <c r="M72" s="17">
        <v>23.0</v>
      </c>
      <c r="N72" s="17" t="s">
        <v>289</v>
      </c>
      <c r="O72" s="17" t="s">
        <v>290</v>
      </c>
      <c r="P72" s="17">
        <v>1.0</v>
      </c>
      <c r="Q72" s="17" t="s">
        <v>31</v>
      </c>
      <c r="R72" s="2"/>
      <c r="S72" s="2"/>
      <c r="T72" s="2"/>
      <c r="U72" s="2"/>
      <c r="V72" s="2"/>
      <c r="W72" s="2"/>
      <c r="X72" s="2"/>
      <c r="Y72" s="2"/>
    </row>
    <row r="73" ht="22.5" customHeight="1">
      <c r="A73" s="20" t="s">
        <v>252</v>
      </c>
      <c r="B73" s="40"/>
      <c r="C73" s="31">
        <v>119.0</v>
      </c>
      <c r="D73" s="20" t="s">
        <v>253</v>
      </c>
      <c r="E73" s="20" t="s">
        <v>254</v>
      </c>
      <c r="F73" s="31">
        <v>57.0</v>
      </c>
      <c r="G73" s="20" t="s">
        <v>255</v>
      </c>
      <c r="H73" s="31">
        <v>2001.0</v>
      </c>
      <c r="I73" s="2"/>
      <c r="J73" s="2"/>
      <c r="K73" s="17" t="s">
        <v>291</v>
      </c>
      <c r="L73" s="17" t="s">
        <v>292</v>
      </c>
      <c r="M73" s="17">
        <v>7.0</v>
      </c>
      <c r="N73" s="17" t="s">
        <v>293</v>
      </c>
      <c r="O73" s="17" t="s">
        <v>294</v>
      </c>
      <c r="P73" s="17">
        <v>0.0</v>
      </c>
      <c r="Q73" s="17" t="s">
        <v>36</v>
      </c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26" t="s">
        <v>51</v>
      </c>
      <c r="B74" s="26" t="s">
        <v>52</v>
      </c>
      <c r="C74" s="37">
        <v>54.0</v>
      </c>
      <c r="D74" s="26" t="s">
        <v>256</v>
      </c>
      <c r="E74" s="26" t="s">
        <v>257</v>
      </c>
      <c r="F74" s="37">
        <v>31.0</v>
      </c>
      <c r="G74" s="26" t="s">
        <v>258</v>
      </c>
      <c r="H74" s="37">
        <v>2001.0</v>
      </c>
      <c r="I74" s="2"/>
      <c r="J74" s="2"/>
      <c r="K74" s="17" t="s">
        <v>295</v>
      </c>
      <c r="L74" s="17" t="s">
        <v>296</v>
      </c>
      <c r="M74" s="17">
        <v>3.0</v>
      </c>
      <c r="N74" s="17" t="s">
        <v>297</v>
      </c>
      <c r="O74" s="17" t="s">
        <v>298</v>
      </c>
      <c r="P74" s="17">
        <v>1.0</v>
      </c>
      <c r="Q74" s="17" t="s">
        <v>31</v>
      </c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26" t="s">
        <v>46</v>
      </c>
      <c r="B75" s="26" t="s">
        <v>47</v>
      </c>
      <c r="C75" s="37">
        <v>45.0</v>
      </c>
      <c r="D75" s="26" t="s">
        <v>259</v>
      </c>
      <c r="E75" s="26" t="s">
        <v>260</v>
      </c>
      <c r="F75" s="37">
        <v>18.0</v>
      </c>
      <c r="G75" s="26" t="s">
        <v>261</v>
      </c>
      <c r="H75" s="37">
        <v>2001.0</v>
      </c>
      <c r="I75" s="2"/>
      <c r="J75" s="2"/>
      <c r="K75" s="17" t="s">
        <v>37</v>
      </c>
      <c r="L75" s="17" t="s">
        <v>38</v>
      </c>
      <c r="M75" s="17">
        <v>13.0</v>
      </c>
      <c r="N75" s="17" t="s">
        <v>299</v>
      </c>
      <c r="O75" s="17" t="s">
        <v>215</v>
      </c>
      <c r="P75" s="17">
        <v>0.0</v>
      </c>
      <c r="Q75" s="17" t="s">
        <v>36</v>
      </c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26" t="s">
        <v>189</v>
      </c>
      <c r="B76" s="26" t="s">
        <v>190</v>
      </c>
      <c r="C76" s="37">
        <v>20.0</v>
      </c>
      <c r="D76" s="26" t="s">
        <v>262</v>
      </c>
      <c r="E76" s="26" t="s">
        <v>263</v>
      </c>
      <c r="F76" s="37">
        <v>8.0</v>
      </c>
      <c r="G76" s="26" t="s">
        <v>60</v>
      </c>
      <c r="H76" s="37">
        <v>2001.0</v>
      </c>
      <c r="I76" s="2"/>
      <c r="J76" s="2"/>
      <c r="K76" s="17" t="s">
        <v>300</v>
      </c>
      <c r="L76" s="2"/>
      <c r="M76" s="17">
        <v>120.0</v>
      </c>
      <c r="N76" s="17" t="s">
        <v>301</v>
      </c>
      <c r="O76" s="17" t="s">
        <v>302</v>
      </c>
      <c r="P76" s="17">
        <v>65.0</v>
      </c>
      <c r="Q76" s="17" t="s">
        <v>303</v>
      </c>
      <c r="R76" s="2"/>
      <c r="S76" s="2"/>
      <c r="T76" s="2"/>
      <c r="U76" s="2"/>
      <c r="V76" s="2"/>
      <c r="W76" s="2"/>
      <c r="X76" s="2"/>
      <c r="Y76" s="2"/>
    </row>
    <row r="77" ht="22.5" customHeight="1">
      <c r="A77" s="20" t="s">
        <v>264</v>
      </c>
      <c r="B77" s="20" t="s">
        <v>84</v>
      </c>
      <c r="C77" s="31">
        <v>4.0</v>
      </c>
      <c r="D77" s="20">
        <v>3475.0</v>
      </c>
      <c r="E77" s="20" t="s">
        <v>265</v>
      </c>
      <c r="F77" s="31">
        <v>0.0</v>
      </c>
      <c r="G77" s="20" t="s">
        <v>36</v>
      </c>
      <c r="H77" s="31">
        <v>2001.0</v>
      </c>
      <c r="I77" s="2"/>
      <c r="J77" s="2"/>
      <c r="K77" s="17" t="s">
        <v>12</v>
      </c>
      <c r="L77" s="17" t="s">
        <v>13</v>
      </c>
      <c r="M77" s="17">
        <v>56.0</v>
      </c>
      <c r="N77" s="17" t="s">
        <v>304</v>
      </c>
      <c r="O77" s="17" t="s">
        <v>305</v>
      </c>
      <c r="P77" s="17">
        <v>20.0</v>
      </c>
      <c r="Q77" s="17" t="s">
        <v>274</v>
      </c>
      <c r="R77" s="2"/>
      <c r="S77" s="17"/>
      <c r="T77" s="2"/>
      <c r="U77" s="2"/>
      <c r="V77" s="2"/>
      <c r="W77" s="2"/>
      <c r="X77" s="2"/>
      <c r="Y77" s="2"/>
      <c r="Z77" s="2"/>
    </row>
    <row r="78" ht="22.5" customHeight="1">
      <c r="A78" s="20" t="s">
        <v>266</v>
      </c>
      <c r="B78" s="40"/>
      <c r="C78" s="31">
        <v>120.0</v>
      </c>
      <c r="D78" s="20" t="s">
        <v>267</v>
      </c>
      <c r="E78" s="20" t="s">
        <v>268</v>
      </c>
      <c r="F78" s="31">
        <v>62.0</v>
      </c>
      <c r="G78" s="20" t="s">
        <v>269</v>
      </c>
      <c r="H78" s="31">
        <v>2001.0</v>
      </c>
      <c r="I78" s="2"/>
      <c r="J78" s="2"/>
      <c r="K78" s="17" t="s">
        <v>17</v>
      </c>
      <c r="L78" s="17" t="s">
        <v>18</v>
      </c>
      <c r="M78" s="17">
        <v>27.0</v>
      </c>
      <c r="N78" s="17" t="s">
        <v>306</v>
      </c>
      <c r="O78" s="17" t="s">
        <v>307</v>
      </c>
      <c r="P78" s="17">
        <v>21.0</v>
      </c>
      <c r="Q78" s="17" t="s">
        <v>308</v>
      </c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26" t="s">
        <v>12</v>
      </c>
      <c r="B79" s="26" t="s">
        <v>223</v>
      </c>
      <c r="C79" s="37">
        <v>54.0</v>
      </c>
      <c r="D79" s="26" t="s">
        <v>270</v>
      </c>
      <c r="E79" s="26" t="s">
        <v>271</v>
      </c>
      <c r="F79" s="37">
        <v>23.0</v>
      </c>
      <c r="G79" s="26" t="s">
        <v>138</v>
      </c>
      <c r="H79" s="37">
        <v>2001.0</v>
      </c>
      <c r="I79" s="2"/>
      <c r="J79" s="2"/>
      <c r="K79" s="17" t="s">
        <v>275</v>
      </c>
      <c r="L79" s="17" t="s">
        <v>178</v>
      </c>
      <c r="M79" s="17">
        <v>21.0</v>
      </c>
      <c r="N79" s="17" t="s">
        <v>309</v>
      </c>
      <c r="O79" s="17" t="s">
        <v>310</v>
      </c>
      <c r="P79" s="17">
        <v>15.0</v>
      </c>
      <c r="Q79" s="17" t="s">
        <v>166</v>
      </c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26" t="s">
        <v>17</v>
      </c>
      <c r="B80" s="26" t="s">
        <v>18</v>
      </c>
      <c r="C80" s="37">
        <v>24.0</v>
      </c>
      <c r="D80" s="26" t="s">
        <v>272</v>
      </c>
      <c r="E80" s="26" t="s">
        <v>273</v>
      </c>
      <c r="F80" s="37">
        <v>20.0</v>
      </c>
      <c r="G80" s="26" t="s">
        <v>274</v>
      </c>
      <c r="H80" s="37">
        <v>2001.0</v>
      </c>
      <c r="I80" s="2"/>
      <c r="J80" s="2"/>
      <c r="K80" s="17" t="s">
        <v>183</v>
      </c>
      <c r="L80" s="17" t="s">
        <v>108</v>
      </c>
      <c r="M80" s="17">
        <v>9.0</v>
      </c>
      <c r="N80" s="17" t="s">
        <v>311</v>
      </c>
      <c r="O80" s="17" t="s">
        <v>312</v>
      </c>
      <c r="P80" s="17">
        <v>7.0</v>
      </c>
      <c r="Q80" s="17" t="s">
        <v>313</v>
      </c>
      <c r="R80" s="17"/>
      <c r="S80" s="2"/>
      <c r="T80" s="2"/>
      <c r="U80" s="2"/>
      <c r="V80" s="2"/>
      <c r="W80" s="2"/>
      <c r="X80" s="2"/>
      <c r="Y80" s="2"/>
      <c r="Z80" s="2"/>
    </row>
    <row r="81" ht="22.5" customHeight="1">
      <c r="A81" s="26" t="s">
        <v>275</v>
      </c>
      <c r="B81" s="26" t="s">
        <v>178</v>
      </c>
      <c r="C81" s="37">
        <v>21.0</v>
      </c>
      <c r="D81" s="26" t="s">
        <v>276</v>
      </c>
      <c r="E81" s="26" t="s">
        <v>277</v>
      </c>
      <c r="F81" s="37">
        <v>10.0</v>
      </c>
      <c r="G81" s="26" t="s">
        <v>278</v>
      </c>
      <c r="H81" s="37">
        <v>2001.0</v>
      </c>
      <c r="I81" s="2"/>
      <c r="J81" s="2"/>
      <c r="K81" s="17" t="s">
        <v>56</v>
      </c>
      <c r="L81" s="17" t="s">
        <v>57</v>
      </c>
      <c r="M81" s="17">
        <v>7.0</v>
      </c>
      <c r="N81" s="17" t="s">
        <v>314</v>
      </c>
      <c r="O81" s="17" t="s">
        <v>315</v>
      </c>
      <c r="P81" s="17">
        <v>2.0</v>
      </c>
      <c r="Q81" s="17" t="s">
        <v>102</v>
      </c>
      <c r="R81" s="17"/>
      <c r="S81" s="17"/>
      <c r="T81" s="2"/>
      <c r="U81" s="2"/>
      <c r="V81" s="2"/>
      <c r="W81" s="2"/>
      <c r="X81" s="2"/>
      <c r="Y81" s="2"/>
      <c r="Z81" s="2"/>
    </row>
    <row r="82" ht="22.5" customHeight="1">
      <c r="A82" s="26" t="s">
        <v>183</v>
      </c>
      <c r="B82" s="26" t="s">
        <v>108</v>
      </c>
      <c r="C82" s="37">
        <v>14.0</v>
      </c>
      <c r="D82" s="26" t="s">
        <v>279</v>
      </c>
      <c r="E82" s="26" t="s">
        <v>280</v>
      </c>
      <c r="F82" s="37">
        <v>6.0</v>
      </c>
      <c r="G82" s="26" t="s">
        <v>281</v>
      </c>
      <c r="H82" s="37">
        <v>2001.0</v>
      </c>
      <c r="I82" s="2"/>
      <c r="J82" s="2"/>
      <c r="K82" s="17" t="s">
        <v>316</v>
      </c>
      <c r="L82" s="2"/>
      <c r="M82" s="17">
        <v>115.0</v>
      </c>
      <c r="N82" s="17" t="s">
        <v>317</v>
      </c>
      <c r="O82" s="17" t="s">
        <v>318</v>
      </c>
      <c r="P82" s="17">
        <v>0.0</v>
      </c>
      <c r="Q82" s="17" t="s">
        <v>36</v>
      </c>
      <c r="R82" s="2"/>
      <c r="S82" s="2"/>
      <c r="T82" s="2"/>
      <c r="U82" s="2"/>
      <c r="V82" s="2"/>
      <c r="W82" s="2"/>
      <c r="X82" s="2"/>
      <c r="Y82" s="2"/>
    </row>
    <row r="83" ht="22.5" customHeight="1">
      <c r="A83" s="26" t="s">
        <v>91</v>
      </c>
      <c r="B83" s="26" t="s">
        <v>92</v>
      </c>
      <c r="C83" s="37">
        <v>7.0</v>
      </c>
      <c r="D83" s="26" t="s">
        <v>282</v>
      </c>
      <c r="E83" s="26" t="s">
        <v>283</v>
      </c>
      <c r="F83" s="37">
        <v>3.0</v>
      </c>
      <c r="G83" s="26" t="s">
        <v>284</v>
      </c>
      <c r="H83" s="37">
        <v>2001.0</v>
      </c>
      <c r="I83" s="2"/>
      <c r="J83" s="2"/>
      <c r="K83" s="17" t="s">
        <v>132</v>
      </c>
      <c r="L83" s="17" t="s">
        <v>133</v>
      </c>
      <c r="M83" s="17">
        <v>62.0</v>
      </c>
      <c r="N83" s="17" t="s">
        <v>319</v>
      </c>
      <c r="O83" s="17" t="s">
        <v>320</v>
      </c>
      <c r="P83" s="17">
        <v>0.0</v>
      </c>
      <c r="Q83" s="17" t="s">
        <v>36</v>
      </c>
      <c r="R83" s="17"/>
      <c r="S83" s="17"/>
      <c r="T83" s="2"/>
      <c r="U83" s="2"/>
      <c r="V83" s="2"/>
      <c r="W83" s="2"/>
      <c r="X83" s="2"/>
      <c r="Y83" s="2"/>
      <c r="Z83" s="2"/>
    </row>
    <row r="84" ht="22.5" customHeight="1">
      <c r="A84" s="20" t="s">
        <v>117</v>
      </c>
      <c r="B84" s="20" t="s">
        <v>118</v>
      </c>
      <c r="C84" s="31">
        <v>16.0</v>
      </c>
      <c r="D84" s="20" t="s">
        <v>285</v>
      </c>
      <c r="E84" s="20" t="s">
        <v>286</v>
      </c>
      <c r="F84" s="31">
        <v>1.0</v>
      </c>
      <c r="G84" s="20" t="s">
        <v>31</v>
      </c>
      <c r="H84" s="31">
        <v>2001.0</v>
      </c>
      <c r="I84" s="2"/>
      <c r="J84" s="2"/>
      <c r="K84" s="17" t="s">
        <v>27</v>
      </c>
      <c r="L84" s="17" t="s">
        <v>28</v>
      </c>
      <c r="M84" s="17">
        <v>33.0</v>
      </c>
      <c r="N84" s="17" t="s">
        <v>321</v>
      </c>
      <c r="O84" s="17" t="s">
        <v>322</v>
      </c>
      <c r="P84" s="17">
        <v>0.0</v>
      </c>
      <c r="Q84" s="17" t="s">
        <v>36</v>
      </c>
      <c r="R84" s="2"/>
      <c r="S84" s="17"/>
      <c r="T84" s="2"/>
      <c r="U84" s="2"/>
      <c r="V84" s="2"/>
      <c r="W84" s="2"/>
      <c r="X84" s="2"/>
      <c r="Y84" s="2"/>
      <c r="Z84" s="2"/>
    </row>
    <row r="85" ht="22.5" customHeight="1">
      <c r="A85" s="20" t="s">
        <v>287</v>
      </c>
      <c r="B85" s="20" t="s">
        <v>288</v>
      </c>
      <c r="C85" s="31">
        <v>23.0</v>
      </c>
      <c r="D85" s="20" t="s">
        <v>289</v>
      </c>
      <c r="E85" s="20" t="s">
        <v>290</v>
      </c>
      <c r="F85" s="31">
        <v>1.0</v>
      </c>
      <c r="G85" s="20" t="s">
        <v>31</v>
      </c>
      <c r="H85" s="31">
        <v>2005.0</v>
      </c>
      <c r="I85" s="2"/>
      <c r="J85" s="2"/>
      <c r="K85" s="17" t="s">
        <v>189</v>
      </c>
      <c r="L85" s="17" t="s">
        <v>190</v>
      </c>
      <c r="M85" s="17">
        <v>20.0</v>
      </c>
      <c r="N85" s="17" t="s">
        <v>323</v>
      </c>
      <c r="O85" s="17" t="s">
        <v>64</v>
      </c>
      <c r="P85" s="17">
        <v>0.0</v>
      </c>
      <c r="Q85" s="17" t="s">
        <v>36</v>
      </c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26" t="s">
        <v>291</v>
      </c>
      <c r="B86" s="26" t="s">
        <v>292</v>
      </c>
      <c r="C86" s="37">
        <v>7.0</v>
      </c>
      <c r="D86" s="26" t="s">
        <v>293</v>
      </c>
      <c r="E86" s="26" t="s">
        <v>294</v>
      </c>
      <c r="F86" s="37">
        <v>0.0</v>
      </c>
      <c r="G86" s="26" t="s">
        <v>36</v>
      </c>
      <c r="H86" s="37">
        <v>2005.0</v>
      </c>
      <c r="I86" s="2"/>
      <c r="J86" s="2"/>
      <c r="K86" s="17" t="s">
        <v>324</v>
      </c>
      <c r="L86" s="2"/>
      <c r="M86" s="17">
        <v>120.0</v>
      </c>
      <c r="N86" s="17" t="s">
        <v>325</v>
      </c>
      <c r="O86" s="17" t="s">
        <v>326</v>
      </c>
      <c r="P86" s="17">
        <v>54.0</v>
      </c>
      <c r="Q86" s="17" t="s">
        <v>327</v>
      </c>
      <c r="R86" s="17"/>
      <c r="S86" s="17"/>
      <c r="T86" s="2"/>
      <c r="U86" s="2"/>
      <c r="V86" s="2"/>
      <c r="W86" s="2"/>
      <c r="X86" s="2"/>
      <c r="Y86" s="2"/>
    </row>
    <row r="87" ht="22.5" customHeight="1">
      <c r="A87" s="26" t="s">
        <v>295</v>
      </c>
      <c r="B87" s="26" t="s">
        <v>296</v>
      </c>
      <c r="C87" s="37">
        <v>3.0</v>
      </c>
      <c r="D87" s="26" t="s">
        <v>297</v>
      </c>
      <c r="E87" s="26" t="s">
        <v>298</v>
      </c>
      <c r="F87" s="37">
        <v>1.0</v>
      </c>
      <c r="G87" s="26" t="s">
        <v>31</v>
      </c>
      <c r="H87" s="37">
        <v>2005.0</v>
      </c>
      <c r="I87" s="2"/>
      <c r="J87" s="2"/>
      <c r="K87" s="17" t="s">
        <v>46</v>
      </c>
      <c r="L87" s="17" t="s">
        <v>47</v>
      </c>
      <c r="M87" s="17">
        <v>50.0</v>
      </c>
      <c r="N87" s="17" t="s">
        <v>328</v>
      </c>
      <c r="O87" s="17" t="s">
        <v>329</v>
      </c>
      <c r="P87" s="17">
        <v>19.0</v>
      </c>
      <c r="Q87" s="17" t="s">
        <v>330</v>
      </c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6" t="s">
        <v>37</v>
      </c>
      <c r="B88" s="26" t="s">
        <v>38</v>
      </c>
      <c r="C88" s="37">
        <v>13.0</v>
      </c>
      <c r="D88" s="26" t="s">
        <v>299</v>
      </c>
      <c r="E88" s="26" t="s">
        <v>215</v>
      </c>
      <c r="F88" s="37">
        <v>0.0</v>
      </c>
      <c r="G88" s="26" t="s">
        <v>36</v>
      </c>
      <c r="H88" s="37">
        <v>2005.0</v>
      </c>
      <c r="I88" s="2"/>
      <c r="J88" s="2"/>
      <c r="K88" s="17" t="s">
        <v>51</v>
      </c>
      <c r="L88" s="17" t="s">
        <v>52</v>
      </c>
      <c r="M88" s="17">
        <v>59.0</v>
      </c>
      <c r="N88" s="17" t="s">
        <v>331</v>
      </c>
      <c r="O88" s="17" t="s">
        <v>332</v>
      </c>
      <c r="P88" s="17">
        <v>33.0</v>
      </c>
      <c r="Q88" s="17" t="s">
        <v>333</v>
      </c>
      <c r="R88" s="17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0" t="s">
        <v>300</v>
      </c>
      <c r="B89" s="40"/>
      <c r="C89" s="31">
        <v>120.0</v>
      </c>
      <c r="D89" s="20" t="s">
        <v>301</v>
      </c>
      <c r="E89" s="20" t="s">
        <v>302</v>
      </c>
      <c r="F89" s="31">
        <v>65.0</v>
      </c>
      <c r="G89" s="20" t="s">
        <v>303</v>
      </c>
      <c r="H89" s="31">
        <v>2005.0</v>
      </c>
      <c r="I89" s="2"/>
      <c r="J89" s="2"/>
      <c r="K89" s="17" t="s">
        <v>76</v>
      </c>
      <c r="L89" s="17" t="s">
        <v>77</v>
      </c>
      <c r="M89" s="17">
        <v>11.0</v>
      </c>
      <c r="N89" s="17" t="s">
        <v>334</v>
      </c>
      <c r="O89" s="17" t="s">
        <v>335</v>
      </c>
      <c r="P89" s="17">
        <v>2.0</v>
      </c>
      <c r="Q89" s="17" t="s">
        <v>102</v>
      </c>
      <c r="R89" s="17"/>
      <c r="S89" s="17"/>
      <c r="T89" s="2"/>
      <c r="U89" s="2"/>
      <c r="V89" s="2"/>
      <c r="W89" s="2"/>
      <c r="X89" s="2"/>
      <c r="Y89" s="2"/>
      <c r="Z89" s="2"/>
    </row>
    <row r="90" ht="22.5" customHeight="1">
      <c r="A90" s="26" t="s">
        <v>12</v>
      </c>
      <c r="B90" s="26" t="s">
        <v>13</v>
      </c>
      <c r="C90" s="37">
        <v>56.0</v>
      </c>
      <c r="D90" s="26" t="s">
        <v>304</v>
      </c>
      <c r="E90" s="26" t="s">
        <v>305</v>
      </c>
      <c r="F90" s="37">
        <v>20.0</v>
      </c>
      <c r="G90" s="26" t="s">
        <v>274</v>
      </c>
      <c r="H90" s="37">
        <v>2005.0</v>
      </c>
      <c r="I90" s="2"/>
      <c r="J90" s="2"/>
      <c r="K90" s="17" t="s">
        <v>117</v>
      </c>
      <c r="L90" s="17" t="s">
        <v>118</v>
      </c>
      <c r="M90" s="17">
        <v>8.0</v>
      </c>
      <c r="N90" s="17" t="s">
        <v>336</v>
      </c>
      <c r="O90" s="17" t="s">
        <v>234</v>
      </c>
      <c r="P90" s="17">
        <v>0.0</v>
      </c>
      <c r="Q90" s="17" t="s">
        <v>36</v>
      </c>
      <c r="R90" s="17"/>
      <c r="S90" s="17"/>
      <c r="T90" s="2"/>
      <c r="U90" s="2"/>
      <c r="V90" s="2"/>
      <c r="W90" s="2"/>
      <c r="X90" s="2"/>
      <c r="Y90" s="2"/>
      <c r="Z90" s="2"/>
    </row>
    <row r="91" ht="22.5" customHeight="1">
      <c r="A91" s="26" t="s">
        <v>17</v>
      </c>
      <c r="B91" s="26" t="s">
        <v>18</v>
      </c>
      <c r="C91" s="37">
        <v>27.0</v>
      </c>
      <c r="D91" s="26" t="s">
        <v>306</v>
      </c>
      <c r="E91" s="26" t="s">
        <v>307</v>
      </c>
      <c r="F91" s="37">
        <v>21.0</v>
      </c>
      <c r="G91" s="26" t="s">
        <v>308</v>
      </c>
      <c r="H91" s="37">
        <v>2005.0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6" t="s">
        <v>275</v>
      </c>
      <c r="B92" s="26" t="s">
        <v>178</v>
      </c>
      <c r="C92" s="37">
        <v>21.0</v>
      </c>
      <c r="D92" s="26" t="s">
        <v>309</v>
      </c>
      <c r="E92" s="26" t="s">
        <v>310</v>
      </c>
      <c r="F92" s="37">
        <v>15.0</v>
      </c>
      <c r="G92" s="26" t="s">
        <v>166</v>
      </c>
      <c r="H92" s="37">
        <v>2005.0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6" t="s">
        <v>183</v>
      </c>
      <c r="B93" s="26" t="s">
        <v>108</v>
      </c>
      <c r="C93" s="37">
        <v>9.0</v>
      </c>
      <c r="D93" s="26" t="s">
        <v>311</v>
      </c>
      <c r="E93" s="26" t="s">
        <v>312</v>
      </c>
      <c r="F93" s="37">
        <v>7.0</v>
      </c>
      <c r="G93" s="26" t="s">
        <v>313</v>
      </c>
      <c r="H93" s="37">
        <v>2005.0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6" t="s">
        <v>56</v>
      </c>
      <c r="B94" s="26" t="s">
        <v>57</v>
      </c>
      <c r="C94" s="37">
        <v>7.0</v>
      </c>
      <c r="D94" s="26" t="s">
        <v>314</v>
      </c>
      <c r="E94" s="26" t="s">
        <v>315</v>
      </c>
      <c r="F94" s="37">
        <v>2.0</v>
      </c>
      <c r="G94" s="26" t="s">
        <v>102</v>
      </c>
      <c r="H94" s="37">
        <v>2005.0</v>
      </c>
      <c r="I94" s="2"/>
      <c r="J94" s="2"/>
      <c r="K94" s="34" t="s">
        <v>0</v>
      </c>
      <c r="L94" s="34" t="s">
        <v>1</v>
      </c>
      <c r="M94" s="34"/>
      <c r="N94" s="41" t="s">
        <v>3</v>
      </c>
      <c r="O94" s="41" t="s">
        <v>115</v>
      </c>
      <c r="P94" s="41" t="s">
        <v>116</v>
      </c>
      <c r="Q94" s="41" t="s">
        <v>115</v>
      </c>
      <c r="R94" s="17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0" t="s">
        <v>316</v>
      </c>
      <c r="B95" s="40"/>
      <c r="C95" s="31">
        <v>115.0</v>
      </c>
      <c r="D95" s="20" t="s">
        <v>317</v>
      </c>
      <c r="E95" s="20" t="s">
        <v>318</v>
      </c>
      <c r="F95" s="31">
        <v>0.0</v>
      </c>
      <c r="G95" s="20" t="s">
        <v>36</v>
      </c>
      <c r="H95" s="31">
        <v>2005.0</v>
      </c>
      <c r="I95" s="2"/>
      <c r="J95" s="2"/>
      <c r="K95" s="17" t="s">
        <v>337</v>
      </c>
      <c r="L95" s="2"/>
      <c r="M95" s="17"/>
      <c r="N95" s="42" t="s">
        <v>338</v>
      </c>
      <c r="O95" s="42" t="s">
        <v>339</v>
      </c>
      <c r="P95" s="42">
        <v>57.0</v>
      </c>
      <c r="Q95" s="42" t="s">
        <v>340</v>
      </c>
      <c r="R95" s="17"/>
      <c r="S95" s="2"/>
      <c r="T95" s="2"/>
      <c r="U95" s="2"/>
      <c r="V95" s="2"/>
      <c r="W95" s="2"/>
      <c r="X95" s="2"/>
      <c r="Y95" s="2"/>
    </row>
    <row r="96" ht="22.5" customHeight="1">
      <c r="A96" s="26" t="s">
        <v>132</v>
      </c>
      <c r="B96" s="26" t="s">
        <v>133</v>
      </c>
      <c r="C96" s="37">
        <v>62.0</v>
      </c>
      <c r="D96" s="26" t="s">
        <v>319</v>
      </c>
      <c r="E96" s="26" t="s">
        <v>320</v>
      </c>
      <c r="F96" s="37">
        <v>0.0</v>
      </c>
      <c r="G96" s="26" t="s">
        <v>36</v>
      </c>
      <c r="H96" s="37">
        <v>2005.0</v>
      </c>
      <c r="I96" s="2"/>
      <c r="J96" s="2"/>
      <c r="K96" s="17" t="s">
        <v>12</v>
      </c>
      <c r="L96" s="17" t="s">
        <v>13</v>
      </c>
      <c r="M96" s="17"/>
      <c r="N96" s="42" t="s">
        <v>341</v>
      </c>
      <c r="O96" s="42" t="s">
        <v>342</v>
      </c>
      <c r="P96" s="42">
        <v>19.0</v>
      </c>
      <c r="Q96" s="42" t="s">
        <v>330</v>
      </c>
      <c r="R96" s="17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6" t="s">
        <v>27</v>
      </c>
      <c r="B97" s="26" t="s">
        <v>28</v>
      </c>
      <c r="C97" s="37">
        <v>33.0</v>
      </c>
      <c r="D97" s="26" t="s">
        <v>321</v>
      </c>
      <c r="E97" s="26" t="s">
        <v>322</v>
      </c>
      <c r="F97" s="37">
        <v>0.0</v>
      </c>
      <c r="G97" s="26" t="s">
        <v>36</v>
      </c>
      <c r="H97" s="37">
        <v>2005.0</v>
      </c>
      <c r="I97" s="2"/>
      <c r="J97" s="2"/>
      <c r="K97" s="17" t="s">
        <v>17</v>
      </c>
      <c r="L97" s="17" t="s">
        <v>18</v>
      </c>
      <c r="M97" s="17"/>
      <c r="N97" s="42" t="s">
        <v>343</v>
      </c>
      <c r="O97" s="42" t="s">
        <v>344</v>
      </c>
      <c r="P97" s="42">
        <v>18.0</v>
      </c>
      <c r="Q97" s="42" t="s">
        <v>261</v>
      </c>
      <c r="R97" s="17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6" t="s">
        <v>189</v>
      </c>
      <c r="B98" s="26" t="s">
        <v>190</v>
      </c>
      <c r="C98" s="37">
        <v>20.0</v>
      </c>
      <c r="D98" s="26" t="s">
        <v>323</v>
      </c>
      <c r="E98" s="26" t="s">
        <v>64</v>
      </c>
      <c r="F98" s="37">
        <v>0.0</v>
      </c>
      <c r="G98" s="26" t="s">
        <v>36</v>
      </c>
      <c r="H98" s="37">
        <v>2005.0</v>
      </c>
      <c r="I98" s="2"/>
      <c r="J98" s="2"/>
      <c r="K98" s="17" t="s">
        <v>177</v>
      </c>
      <c r="L98" s="17" t="s">
        <v>178</v>
      </c>
      <c r="M98" s="17"/>
      <c r="N98" s="42" t="s">
        <v>345</v>
      </c>
      <c r="O98" s="42" t="s">
        <v>346</v>
      </c>
      <c r="P98" s="42">
        <v>11.0</v>
      </c>
      <c r="Q98" s="42" t="s">
        <v>55</v>
      </c>
      <c r="R98" s="17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0" t="s">
        <v>324</v>
      </c>
      <c r="B99" s="40"/>
      <c r="C99" s="31">
        <v>120.0</v>
      </c>
      <c r="D99" s="20" t="s">
        <v>325</v>
      </c>
      <c r="E99" s="20" t="s">
        <v>326</v>
      </c>
      <c r="F99" s="31">
        <v>54.0</v>
      </c>
      <c r="G99" s="20" t="s">
        <v>327</v>
      </c>
      <c r="H99" s="31">
        <v>2005.0</v>
      </c>
      <c r="I99" s="2"/>
      <c r="J99" s="2"/>
      <c r="K99" s="17" t="s">
        <v>183</v>
      </c>
      <c r="L99" s="17" t="s">
        <v>108</v>
      </c>
      <c r="M99" s="17"/>
      <c r="N99" s="42" t="s">
        <v>347</v>
      </c>
      <c r="O99" s="42" t="s">
        <v>348</v>
      </c>
      <c r="P99" s="42">
        <v>5.0</v>
      </c>
      <c r="Q99" s="43" t="s">
        <v>26</v>
      </c>
      <c r="R99" s="17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6" t="s">
        <v>46</v>
      </c>
      <c r="B100" s="26" t="s">
        <v>47</v>
      </c>
      <c r="C100" s="37">
        <v>50.0</v>
      </c>
      <c r="D100" s="26" t="s">
        <v>328</v>
      </c>
      <c r="E100" s="26" t="s">
        <v>329</v>
      </c>
      <c r="F100" s="37">
        <v>19.0</v>
      </c>
      <c r="G100" s="26" t="s">
        <v>330</v>
      </c>
      <c r="H100" s="37">
        <v>2005.0</v>
      </c>
      <c r="I100" s="2"/>
      <c r="J100" s="2"/>
      <c r="K100" s="17" t="s">
        <v>204</v>
      </c>
      <c r="L100" s="17" t="s">
        <v>133</v>
      </c>
      <c r="M100" s="17"/>
      <c r="N100" s="42" t="s">
        <v>349</v>
      </c>
      <c r="O100" s="42" t="s">
        <v>350</v>
      </c>
      <c r="P100" s="42">
        <v>3.0</v>
      </c>
      <c r="Q100" s="42" t="s">
        <v>284</v>
      </c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6" t="s">
        <v>51</v>
      </c>
      <c r="B101" s="26" t="s">
        <v>52</v>
      </c>
      <c r="C101" s="37">
        <v>59.0</v>
      </c>
      <c r="D101" s="26" t="s">
        <v>331</v>
      </c>
      <c r="E101" s="26" t="s">
        <v>332</v>
      </c>
      <c r="F101" s="37">
        <v>33.0</v>
      </c>
      <c r="G101" s="26" t="s">
        <v>333</v>
      </c>
      <c r="H101" s="37">
        <v>2005.0</v>
      </c>
      <c r="I101" s="2"/>
      <c r="J101" s="2"/>
      <c r="K101" s="17" t="s">
        <v>37</v>
      </c>
      <c r="L101" s="17" t="s">
        <v>38</v>
      </c>
      <c r="M101" s="17"/>
      <c r="N101" s="42" t="s">
        <v>351</v>
      </c>
      <c r="O101" s="42" t="s">
        <v>352</v>
      </c>
      <c r="P101" s="42">
        <v>1.0</v>
      </c>
      <c r="Q101" s="42" t="s">
        <v>31</v>
      </c>
      <c r="R101" s="17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6" t="s">
        <v>76</v>
      </c>
      <c r="B102" s="26" t="s">
        <v>77</v>
      </c>
      <c r="C102" s="37">
        <v>11.0</v>
      </c>
      <c r="D102" s="26" t="s">
        <v>334</v>
      </c>
      <c r="E102" s="26" t="s">
        <v>335</v>
      </c>
      <c r="F102" s="37">
        <v>2.0</v>
      </c>
      <c r="G102" s="26" t="s">
        <v>102</v>
      </c>
      <c r="H102" s="37">
        <v>2005.0</v>
      </c>
      <c r="I102" s="2"/>
      <c r="J102" s="2"/>
      <c r="K102" s="17" t="s">
        <v>353</v>
      </c>
      <c r="L102" s="2"/>
      <c r="M102" s="17"/>
      <c r="N102" s="42" t="s">
        <v>354</v>
      </c>
      <c r="O102" s="42" t="s">
        <v>355</v>
      </c>
      <c r="P102" s="42">
        <v>58.0</v>
      </c>
      <c r="Q102" s="43" t="s">
        <v>356</v>
      </c>
      <c r="R102" s="2"/>
      <c r="S102" s="2"/>
      <c r="T102" s="2"/>
      <c r="U102" s="2"/>
      <c r="V102" s="2"/>
      <c r="W102" s="2"/>
      <c r="X102" s="2"/>
      <c r="Y102" s="2"/>
    </row>
    <row r="103" ht="22.5" customHeight="1">
      <c r="A103" s="20" t="s">
        <v>117</v>
      </c>
      <c r="B103" s="20" t="s">
        <v>118</v>
      </c>
      <c r="C103" s="31">
        <v>8.0</v>
      </c>
      <c r="D103" s="20" t="s">
        <v>336</v>
      </c>
      <c r="E103" s="20" t="s">
        <v>234</v>
      </c>
      <c r="F103" s="31">
        <v>0.0</v>
      </c>
      <c r="G103" s="20" t="s">
        <v>36</v>
      </c>
      <c r="H103" s="31">
        <v>2005.0</v>
      </c>
      <c r="I103" s="2"/>
      <c r="J103" s="2"/>
      <c r="K103" s="17" t="s">
        <v>51</v>
      </c>
      <c r="L103" s="17" t="s">
        <v>52</v>
      </c>
      <c r="M103" s="17"/>
      <c r="N103" s="42" t="s">
        <v>357</v>
      </c>
      <c r="O103" s="42" t="s">
        <v>358</v>
      </c>
      <c r="P103" s="42">
        <v>37.0</v>
      </c>
      <c r="Q103" s="43" t="s">
        <v>226</v>
      </c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0" t="s">
        <v>337</v>
      </c>
      <c r="B104" s="40"/>
      <c r="C104" s="31"/>
      <c r="D104" s="44" t="s">
        <v>338</v>
      </c>
      <c r="E104" s="44" t="s">
        <v>339</v>
      </c>
      <c r="F104" s="45">
        <v>57.0</v>
      </c>
      <c r="G104" s="44" t="s">
        <v>340</v>
      </c>
      <c r="H104" s="31">
        <v>2009.0</v>
      </c>
      <c r="I104" s="2"/>
      <c r="J104" s="2"/>
      <c r="K104" s="17" t="s">
        <v>46</v>
      </c>
      <c r="L104" s="17" t="s">
        <v>47</v>
      </c>
      <c r="M104" s="17"/>
      <c r="N104" s="42" t="s">
        <v>359</v>
      </c>
      <c r="O104" s="42" t="s">
        <v>360</v>
      </c>
      <c r="P104" s="42">
        <v>18.0</v>
      </c>
      <c r="Q104" s="43" t="s">
        <v>261</v>
      </c>
      <c r="R104" s="17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6" t="s">
        <v>12</v>
      </c>
      <c r="B105" s="26" t="s">
        <v>13</v>
      </c>
      <c r="C105" s="37"/>
      <c r="D105" s="46" t="s">
        <v>341</v>
      </c>
      <c r="E105" s="46" t="s">
        <v>342</v>
      </c>
      <c r="F105" s="47">
        <v>19.0</v>
      </c>
      <c r="G105" s="46" t="s">
        <v>330</v>
      </c>
      <c r="H105" s="37">
        <v>2009.0</v>
      </c>
      <c r="I105" s="2"/>
      <c r="J105" s="2"/>
      <c r="K105" s="17" t="s">
        <v>361</v>
      </c>
      <c r="L105" s="17" t="s">
        <v>362</v>
      </c>
      <c r="M105" s="17"/>
      <c r="N105" s="42" t="s">
        <v>363</v>
      </c>
      <c r="O105" s="42" t="s">
        <v>364</v>
      </c>
      <c r="P105" s="42">
        <v>0.0</v>
      </c>
      <c r="Q105" s="43" t="s">
        <v>36</v>
      </c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6" t="s">
        <v>17</v>
      </c>
      <c r="B106" s="26" t="s">
        <v>18</v>
      </c>
      <c r="C106" s="37"/>
      <c r="D106" s="46" t="s">
        <v>343</v>
      </c>
      <c r="E106" s="46" t="s">
        <v>344</v>
      </c>
      <c r="F106" s="47">
        <v>18.0</v>
      </c>
      <c r="G106" s="46" t="s">
        <v>261</v>
      </c>
      <c r="H106" s="37">
        <v>2009.0</v>
      </c>
      <c r="I106" s="2"/>
      <c r="J106" s="2"/>
      <c r="K106" s="17" t="s">
        <v>56</v>
      </c>
      <c r="L106" s="17" t="s">
        <v>57</v>
      </c>
      <c r="M106" s="17"/>
      <c r="N106" s="42" t="s">
        <v>365</v>
      </c>
      <c r="O106" s="42" t="s">
        <v>366</v>
      </c>
      <c r="P106" s="42">
        <v>3.0</v>
      </c>
      <c r="Q106" s="43" t="s">
        <v>284</v>
      </c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6" t="s">
        <v>177</v>
      </c>
      <c r="B107" s="26" t="s">
        <v>178</v>
      </c>
      <c r="C107" s="37"/>
      <c r="D107" s="46" t="s">
        <v>345</v>
      </c>
      <c r="E107" s="46" t="s">
        <v>346</v>
      </c>
      <c r="F107" s="47">
        <v>11.0</v>
      </c>
      <c r="G107" s="46" t="s">
        <v>55</v>
      </c>
      <c r="H107" s="37">
        <v>2009.0</v>
      </c>
      <c r="I107" s="2"/>
      <c r="J107" s="2"/>
      <c r="K107" s="17" t="s">
        <v>367</v>
      </c>
      <c r="L107" s="2"/>
      <c r="M107" s="17"/>
      <c r="N107" s="42" t="s">
        <v>368</v>
      </c>
      <c r="O107" s="42" t="s">
        <v>369</v>
      </c>
      <c r="P107" s="42">
        <v>0.0</v>
      </c>
      <c r="Q107" s="43" t="s">
        <v>36</v>
      </c>
      <c r="R107" s="2"/>
      <c r="S107" s="2"/>
      <c r="T107" s="2"/>
      <c r="U107" s="2"/>
      <c r="V107" s="2"/>
      <c r="W107" s="2"/>
      <c r="X107" s="2"/>
      <c r="Y107" s="2"/>
    </row>
    <row r="108" ht="22.5" customHeight="1">
      <c r="A108" s="26" t="s">
        <v>183</v>
      </c>
      <c r="B108" s="26" t="s">
        <v>108</v>
      </c>
      <c r="C108" s="37"/>
      <c r="D108" s="46" t="s">
        <v>347</v>
      </c>
      <c r="E108" s="46" t="s">
        <v>348</v>
      </c>
      <c r="F108" s="47">
        <v>5.0</v>
      </c>
      <c r="G108" s="48" t="s">
        <v>26</v>
      </c>
      <c r="H108" s="37">
        <v>2009.0</v>
      </c>
      <c r="I108" s="2"/>
      <c r="J108" s="2"/>
      <c r="K108" s="17" t="s">
        <v>27</v>
      </c>
      <c r="L108" s="17" t="s">
        <v>28</v>
      </c>
      <c r="M108" s="17"/>
      <c r="N108" s="42" t="s">
        <v>370</v>
      </c>
      <c r="O108" s="42" t="s">
        <v>371</v>
      </c>
      <c r="P108" s="42">
        <v>0.0</v>
      </c>
      <c r="Q108" s="42" t="s">
        <v>36</v>
      </c>
      <c r="R108" s="17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6" t="s">
        <v>204</v>
      </c>
      <c r="B109" s="26" t="s">
        <v>133</v>
      </c>
      <c r="C109" s="37"/>
      <c r="D109" s="46" t="s">
        <v>349</v>
      </c>
      <c r="E109" s="46" t="s">
        <v>350</v>
      </c>
      <c r="F109" s="47">
        <v>3.0</v>
      </c>
      <c r="G109" s="46" t="s">
        <v>284</v>
      </c>
      <c r="H109" s="37">
        <v>2009.0</v>
      </c>
      <c r="I109" s="2"/>
      <c r="J109" s="2"/>
      <c r="K109" s="17" t="s">
        <v>372</v>
      </c>
      <c r="L109" s="17" t="s">
        <v>373</v>
      </c>
      <c r="M109" s="17"/>
      <c r="N109" s="42">
        <v>3815.0</v>
      </c>
      <c r="O109" s="42" t="s">
        <v>265</v>
      </c>
      <c r="P109" s="42">
        <v>0.0</v>
      </c>
      <c r="Q109" s="43" t="s">
        <v>36</v>
      </c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6" t="s">
        <v>37</v>
      </c>
      <c r="B110" s="26" t="s">
        <v>38</v>
      </c>
      <c r="C110" s="37"/>
      <c r="D110" s="46" t="s">
        <v>351</v>
      </c>
      <c r="E110" s="46" t="s">
        <v>352</v>
      </c>
      <c r="F110" s="47">
        <v>1.0</v>
      </c>
      <c r="G110" s="46" t="s">
        <v>31</v>
      </c>
      <c r="H110" s="37">
        <v>2009.0</v>
      </c>
      <c r="I110" s="2"/>
      <c r="J110" s="2"/>
      <c r="K110" s="17" t="s">
        <v>189</v>
      </c>
      <c r="L110" s="17" t="s">
        <v>190</v>
      </c>
      <c r="M110" s="17"/>
      <c r="N110" s="42" t="s">
        <v>374</v>
      </c>
      <c r="O110" s="42" t="s">
        <v>375</v>
      </c>
      <c r="P110" s="42">
        <v>0.0</v>
      </c>
      <c r="Q110" s="43" t="s">
        <v>36</v>
      </c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0" t="s">
        <v>353</v>
      </c>
      <c r="B111" s="40"/>
      <c r="C111" s="31"/>
      <c r="D111" s="44" t="s">
        <v>354</v>
      </c>
      <c r="E111" s="44" t="s">
        <v>355</v>
      </c>
      <c r="F111" s="45">
        <v>58.0</v>
      </c>
      <c r="G111" s="49" t="s">
        <v>356</v>
      </c>
      <c r="H111" s="31">
        <v>2009.0</v>
      </c>
      <c r="I111" s="2"/>
      <c r="J111" s="2"/>
      <c r="K111" s="17" t="s">
        <v>376</v>
      </c>
      <c r="L111" s="2"/>
      <c r="M111" s="17"/>
      <c r="N111" s="42" t="s">
        <v>377</v>
      </c>
      <c r="O111" s="42" t="s">
        <v>378</v>
      </c>
      <c r="P111" s="42">
        <v>3.0</v>
      </c>
      <c r="Q111" s="43" t="s">
        <v>284</v>
      </c>
      <c r="R111" s="2"/>
      <c r="S111" s="2"/>
      <c r="T111" s="2"/>
      <c r="U111" s="2"/>
      <c r="V111" s="2"/>
      <c r="W111" s="2"/>
      <c r="X111" s="2"/>
      <c r="Y111" s="2"/>
    </row>
    <row r="112" ht="22.5" customHeight="1">
      <c r="A112" s="26" t="s">
        <v>51</v>
      </c>
      <c r="B112" s="26" t="s">
        <v>52</v>
      </c>
      <c r="C112" s="37"/>
      <c r="D112" s="46" t="s">
        <v>357</v>
      </c>
      <c r="E112" s="46" t="s">
        <v>358</v>
      </c>
      <c r="F112" s="47">
        <v>37.0</v>
      </c>
      <c r="G112" s="48" t="s">
        <v>226</v>
      </c>
      <c r="H112" s="37">
        <v>2009.0</v>
      </c>
      <c r="I112" s="2"/>
      <c r="J112" s="2"/>
      <c r="K112" s="17" t="s">
        <v>379</v>
      </c>
      <c r="L112" s="17" t="s">
        <v>380</v>
      </c>
      <c r="M112" s="17"/>
      <c r="N112" s="42" t="s">
        <v>381</v>
      </c>
      <c r="O112" s="42" t="s">
        <v>382</v>
      </c>
      <c r="P112" s="42">
        <v>3.0</v>
      </c>
      <c r="Q112" s="43" t="s">
        <v>284</v>
      </c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6" t="s">
        <v>46</v>
      </c>
      <c r="B113" s="26" t="s">
        <v>47</v>
      </c>
      <c r="C113" s="37"/>
      <c r="D113" s="46" t="s">
        <v>359</v>
      </c>
      <c r="E113" s="46" t="s">
        <v>360</v>
      </c>
      <c r="F113" s="47">
        <v>18.0</v>
      </c>
      <c r="G113" s="48" t="s">
        <v>261</v>
      </c>
      <c r="H113" s="37">
        <v>2009.0</v>
      </c>
      <c r="I113" s="2"/>
      <c r="J113" s="2"/>
      <c r="K113" s="17" t="s">
        <v>383</v>
      </c>
      <c r="L113" s="17" t="s">
        <v>384</v>
      </c>
      <c r="M113" s="17"/>
      <c r="N113" s="42" t="s">
        <v>385</v>
      </c>
      <c r="O113" s="42" t="s">
        <v>298</v>
      </c>
      <c r="P113" s="42">
        <v>0.0</v>
      </c>
      <c r="Q113" s="43" t="s">
        <v>36</v>
      </c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6" t="s">
        <v>361</v>
      </c>
      <c r="B114" s="26" t="s">
        <v>362</v>
      </c>
      <c r="C114" s="37"/>
      <c r="D114" s="46" t="s">
        <v>363</v>
      </c>
      <c r="E114" s="46" t="s">
        <v>364</v>
      </c>
      <c r="F114" s="47">
        <v>0.0</v>
      </c>
      <c r="G114" s="48" t="s">
        <v>36</v>
      </c>
      <c r="H114" s="37">
        <v>2009.0</v>
      </c>
      <c r="I114" s="2"/>
      <c r="J114" s="2"/>
      <c r="K114" s="17" t="s">
        <v>76</v>
      </c>
      <c r="L114" s="17" t="s">
        <v>77</v>
      </c>
      <c r="M114" s="17"/>
      <c r="N114" s="42" t="s">
        <v>386</v>
      </c>
      <c r="O114" s="42" t="s">
        <v>387</v>
      </c>
      <c r="P114" s="42">
        <v>0.0</v>
      </c>
      <c r="Q114" s="43" t="s">
        <v>36</v>
      </c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6" t="s">
        <v>56</v>
      </c>
      <c r="B115" s="26" t="s">
        <v>57</v>
      </c>
      <c r="C115" s="37"/>
      <c r="D115" s="46" t="s">
        <v>365</v>
      </c>
      <c r="E115" s="46" t="s">
        <v>366</v>
      </c>
      <c r="F115" s="47">
        <v>3.0</v>
      </c>
      <c r="G115" s="48" t="s">
        <v>284</v>
      </c>
      <c r="H115" s="37">
        <v>2009.0</v>
      </c>
      <c r="I115" s="2"/>
      <c r="J115" s="2"/>
      <c r="K115" s="17" t="s">
        <v>117</v>
      </c>
      <c r="L115" s="17" t="s">
        <v>118</v>
      </c>
      <c r="M115" s="17"/>
      <c r="N115" s="42" t="s">
        <v>388</v>
      </c>
      <c r="O115" s="42" t="s">
        <v>389</v>
      </c>
      <c r="P115" s="42">
        <v>2.0</v>
      </c>
      <c r="Q115" s="43" t="s">
        <v>102</v>
      </c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0" t="s">
        <v>367</v>
      </c>
      <c r="B116" s="40"/>
      <c r="C116" s="31"/>
      <c r="D116" s="44" t="s">
        <v>368</v>
      </c>
      <c r="E116" s="44" t="s">
        <v>369</v>
      </c>
      <c r="F116" s="45">
        <v>0.0</v>
      </c>
      <c r="G116" s="49" t="s">
        <v>36</v>
      </c>
      <c r="H116" s="31">
        <v>2009.0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6" t="s">
        <v>27</v>
      </c>
      <c r="B117" s="26" t="s">
        <v>28</v>
      </c>
      <c r="C117" s="37"/>
      <c r="D117" s="46" t="s">
        <v>370</v>
      </c>
      <c r="E117" s="46" t="s">
        <v>371</v>
      </c>
      <c r="F117" s="47">
        <v>0.0</v>
      </c>
      <c r="G117" s="46" t="s">
        <v>36</v>
      </c>
      <c r="H117" s="37">
        <v>2009.0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6" t="s">
        <v>372</v>
      </c>
      <c r="B118" s="26" t="s">
        <v>373</v>
      </c>
      <c r="C118" s="37"/>
      <c r="D118" s="46">
        <v>3815.0</v>
      </c>
      <c r="E118" s="46" t="s">
        <v>265</v>
      </c>
      <c r="F118" s="47">
        <v>0.0</v>
      </c>
      <c r="G118" s="48" t="s">
        <v>36</v>
      </c>
      <c r="H118" s="37">
        <v>2009.0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6" t="s">
        <v>189</v>
      </c>
      <c r="B119" s="26" t="s">
        <v>190</v>
      </c>
      <c r="C119" s="37"/>
      <c r="D119" s="46" t="s">
        <v>374</v>
      </c>
      <c r="E119" s="46" t="s">
        <v>375</v>
      </c>
      <c r="F119" s="47">
        <v>0.0</v>
      </c>
      <c r="G119" s="48" t="s">
        <v>36</v>
      </c>
      <c r="H119" s="37">
        <v>2009.0</v>
      </c>
      <c r="I119" s="2"/>
      <c r="J119" s="2"/>
      <c r="K119" s="17" t="s">
        <v>390</v>
      </c>
      <c r="L119" s="2"/>
      <c r="M119" s="17" t="s">
        <v>391</v>
      </c>
      <c r="N119" s="17" t="s">
        <v>392</v>
      </c>
      <c r="O119" s="17">
        <v>67.0</v>
      </c>
      <c r="P119" s="17" t="s">
        <v>393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0" t="s">
        <v>376</v>
      </c>
      <c r="B120" s="40"/>
      <c r="C120" s="31"/>
      <c r="D120" s="44" t="s">
        <v>377</v>
      </c>
      <c r="E120" s="44" t="s">
        <v>378</v>
      </c>
      <c r="F120" s="45">
        <v>3.0</v>
      </c>
      <c r="G120" s="49" t="s">
        <v>284</v>
      </c>
      <c r="H120" s="31">
        <v>2009.0</v>
      </c>
      <c r="I120" s="2"/>
      <c r="J120" s="2"/>
      <c r="K120" s="17" t="s">
        <v>12</v>
      </c>
      <c r="L120" s="17" t="s">
        <v>13</v>
      </c>
      <c r="M120" s="17" t="s">
        <v>394</v>
      </c>
      <c r="N120" s="17" t="s">
        <v>395</v>
      </c>
      <c r="O120" s="17">
        <v>21.0</v>
      </c>
      <c r="P120" s="17" t="s">
        <v>308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6" t="s">
        <v>379</v>
      </c>
      <c r="B121" s="26" t="s">
        <v>380</v>
      </c>
      <c r="C121" s="37"/>
      <c r="D121" s="46" t="s">
        <v>381</v>
      </c>
      <c r="E121" s="46" t="s">
        <v>382</v>
      </c>
      <c r="F121" s="47">
        <v>3.0</v>
      </c>
      <c r="G121" s="48" t="s">
        <v>284</v>
      </c>
      <c r="H121" s="37">
        <v>2009.0</v>
      </c>
      <c r="I121" s="2"/>
      <c r="J121" s="2"/>
      <c r="K121" s="17" t="s">
        <v>177</v>
      </c>
      <c r="L121" s="17" t="s">
        <v>178</v>
      </c>
      <c r="M121" s="17" t="s">
        <v>396</v>
      </c>
      <c r="N121" s="17" t="s">
        <v>397</v>
      </c>
      <c r="O121" s="17">
        <v>15.0</v>
      </c>
      <c r="P121" s="17" t="s">
        <v>166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6" t="s">
        <v>383</v>
      </c>
      <c r="B122" s="26" t="s">
        <v>384</v>
      </c>
      <c r="C122" s="37"/>
      <c r="D122" s="46" t="s">
        <v>385</v>
      </c>
      <c r="E122" s="46" t="s">
        <v>298</v>
      </c>
      <c r="F122" s="47">
        <v>0.0</v>
      </c>
      <c r="G122" s="48" t="s">
        <v>36</v>
      </c>
      <c r="H122" s="37">
        <v>2009.0</v>
      </c>
      <c r="I122" s="2"/>
      <c r="J122" s="2"/>
      <c r="K122" s="17" t="s">
        <v>17</v>
      </c>
      <c r="L122" s="17" t="s">
        <v>18</v>
      </c>
      <c r="M122" s="17" t="s">
        <v>398</v>
      </c>
      <c r="N122" s="17" t="s">
        <v>399</v>
      </c>
      <c r="O122" s="17">
        <v>15.0</v>
      </c>
      <c r="P122" s="17" t="s">
        <v>166</v>
      </c>
      <c r="Q122" s="17"/>
      <c r="R122" s="17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6" t="s">
        <v>76</v>
      </c>
      <c r="B123" s="26" t="s">
        <v>77</v>
      </c>
      <c r="C123" s="37"/>
      <c r="D123" s="46" t="s">
        <v>386</v>
      </c>
      <c r="E123" s="46" t="s">
        <v>387</v>
      </c>
      <c r="F123" s="47">
        <v>0.0</v>
      </c>
      <c r="G123" s="48" t="s">
        <v>36</v>
      </c>
      <c r="H123" s="37">
        <v>2009.0</v>
      </c>
      <c r="I123" s="2"/>
      <c r="J123" s="2"/>
      <c r="K123" s="17" t="s">
        <v>204</v>
      </c>
      <c r="L123" s="17" t="s">
        <v>133</v>
      </c>
      <c r="M123" s="17" t="s">
        <v>400</v>
      </c>
      <c r="N123" s="17" t="s">
        <v>401</v>
      </c>
      <c r="O123" s="17">
        <v>6.0</v>
      </c>
      <c r="P123" s="17" t="s">
        <v>281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20" t="s">
        <v>117</v>
      </c>
      <c r="B124" s="20" t="s">
        <v>118</v>
      </c>
      <c r="C124" s="31"/>
      <c r="D124" s="44" t="s">
        <v>388</v>
      </c>
      <c r="E124" s="44" t="s">
        <v>389</v>
      </c>
      <c r="F124" s="45">
        <v>2.0</v>
      </c>
      <c r="G124" s="49" t="s">
        <v>102</v>
      </c>
      <c r="H124" s="31">
        <v>2009.0</v>
      </c>
      <c r="I124" s="2"/>
      <c r="J124" s="2"/>
      <c r="K124" s="17" t="s">
        <v>183</v>
      </c>
      <c r="L124" s="17" t="s">
        <v>108</v>
      </c>
      <c r="M124" s="17" t="s">
        <v>402</v>
      </c>
      <c r="N124" s="17" t="s">
        <v>403</v>
      </c>
      <c r="O124" s="17">
        <v>6.0</v>
      </c>
      <c r="P124" s="17" t="s">
        <v>281</v>
      </c>
      <c r="Q124" s="17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20" t="s">
        <v>404</v>
      </c>
      <c r="B125" s="40"/>
      <c r="C125" s="50"/>
      <c r="D125" s="20" t="s">
        <v>391</v>
      </c>
      <c r="E125" s="20" t="s">
        <v>392</v>
      </c>
      <c r="F125" s="31">
        <v>67.0</v>
      </c>
      <c r="G125" s="20" t="s">
        <v>393</v>
      </c>
      <c r="H125" s="31">
        <v>2013.0</v>
      </c>
      <c r="I125" s="2"/>
      <c r="J125" s="2"/>
      <c r="K125" s="17" t="s">
        <v>405</v>
      </c>
      <c r="L125" s="17" t="s">
        <v>406</v>
      </c>
      <c r="M125" s="17" t="s">
        <v>407</v>
      </c>
      <c r="N125" s="17" t="s">
        <v>408</v>
      </c>
      <c r="O125" s="17">
        <v>1.0</v>
      </c>
      <c r="P125" s="17" t="s">
        <v>31</v>
      </c>
      <c r="Q125" s="2"/>
      <c r="R125" s="17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26" t="s">
        <v>12</v>
      </c>
      <c r="B126" s="26" t="s">
        <v>13</v>
      </c>
      <c r="C126" s="51"/>
      <c r="D126" s="26" t="s">
        <v>394</v>
      </c>
      <c r="E126" s="26" t="s">
        <v>395</v>
      </c>
      <c r="F126" s="37">
        <v>21.0</v>
      </c>
      <c r="G126" s="26" t="s">
        <v>308</v>
      </c>
      <c r="H126" s="52">
        <v>2013.0</v>
      </c>
      <c r="I126" s="2"/>
      <c r="J126" s="2"/>
      <c r="K126" s="17" t="s">
        <v>383</v>
      </c>
      <c r="L126" s="17" t="s">
        <v>384</v>
      </c>
      <c r="M126" s="17">
        <v>6387.0</v>
      </c>
      <c r="N126" s="17" t="s">
        <v>142</v>
      </c>
      <c r="O126" s="17">
        <v>0.0</v>
      </c>
      <c r="P126" s="17" t="s">
        <v>36</v>
      </c>
      <c r="Q126" s="17"/>
      <c r="R126" s="17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26" t="s">
        <v>177</v>
      </c>
      <c r="B127" s="26" t="s">
        <v>178</v>
      </c>
      <c r="C127" s="51"/>
      <c r="D127" s="26" t="s">
        <v>396</v>
      </c>
      <c r="E127" s="26" t="s">
        <v>397</v>
      </c>
      <c r="F127" s="37">
        <v>15.0</v>
      </c>
      <c r="G127" s="26" t="s">
        <v>166</v>
      </c>
      <c r="H127" s="52">
        <v>2013.0</v>
      </c>
      <c r="I127" s="2"/>
      <c r="J127" s="2"/>
      <c r="K127" s="17" t="s">
        <v>189</v>
      </c>
      <c r="L127" s="17" t="s">
        <v>190</v>
      </c>
      <c r="M127" s="17" t="s">
        <v>409</v>
      </c>
      <c r="N127" s="17" t="s">
        <v>410</v>
      </c>
      <c r="O127" s="17">
        <v>3.0</v>
      </c>
      <c r="P127" s="17" t="s">
        <v>284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26" t="s">
        <v>17</v>
      </c>
      <c r="B128" s="26" t="s">
        <v>18</v>
      </c>
      <c r="C128" s="51"/>
      <c r="D128" s="26" t="s">
        <v>398</v>
      </c>
      <c r="E128" s="26" t="s">
        <v>399</v>
      </c>
      <c r="F128" s="37">
        <v>15.0</v>
      </c>
      <c r="G128" s="26" t="s">
        <v>166</v>
      </c>
      <c r="H128" s="52">
        <v>2013.0</v>
      </c>
      <c r="I128" s="2"/>
      <c r="J128" s="2"/>
      <c r="K128" s="17" t="s">
        <v>411</v>
      </c>
      <c r="L128" s="17" t="s">
        <v>380</v>
      </c>
      <c r="M128" s="17" t="s">
        <v>412</v>
      </c>
      <c r="N128" s="17" t="s">
        <v>413</v>
      </c>
      <c r="O128" s="17">
        <v>0.0</v>
      </c>
      <c r="P128" s="17" t="s">
        <v>36</v>
      </c>
      <c r="Q128" s="17"/>
      <c r="R128" s="17"/>
      <c r="S128" s="2"/>
      <c r="T128" s="2"/>
      <c r="U128" s="2"/>
      <c r="V128" s="2"/>
      <c r="W128" s="2"/>
      <c r="X128" s="2"/>
      <c r="Y128" s="2"/>
    </row>
    <row r="129" ht="22.5" customHeight="1">
      <c r="A129" s="26" t="s">
        <v>204</v>
      </c>
      <c r="B129" s="26" t="s">
        <v>133</v>
      </c>
      <c r="C129" s="51"/>
      <c r="D129" s="26" t="s">
        <v>400</v>
      </c>
      <c r="E129" s="26" t="s">
        <v>401</v>
      </c>
      <c r="F129" s="37">
        <v>6.0</v>
      </c>
      <c r="G129" s="26" t="s">
        <v>281</v>
      </c>
      <c r="H129" s="52">
        <v>2013.0</v>
      </c>
      <c r="I129" s="2"/>
      <c r="J129" s="2"/>
      <c r="K129" s="17" t="s">
        <v>414</v>
      </c>
      <c r="L129" s="17" t="s">
        <v>28</v>
      </c>
      <c r="M129" s="17" t="s">
        <v>415</v>
      </c>
      <c r="N129" s="17" t="s">
        <v>416</v>
      </c>
      <c r="O129" s="17">
        <v>0.0</v>
      </c>
      <c r="P129" s="17" t="s">
        <v>36</v>
      </c>
      <c r="Q129" s="2"/>
      <c r="R129" s="17"/>
      <c r="S129" s="2"/>
      <c r="T129" s="2"/>
      <c r="U129" s="2"/>
      <c r="V129" s="2"/>
      <c r="W129" s="2"/>
      <c r="X129" s="2"/>
      <c r="Y129" s="2"/>
    </row>
    <row r="130" ht="22.5" customHeight="1">
      <c r="A130" s="26" t="s">
        <v>183</v>
      </c>
      <c r="B130" s="26" t="s">
        <v>108</v>
      </c>
      <c r="C130" s="51"/>
      <c r="D130" s="26" t="s">
        <v>402</v>
      </c>
      <c r="E130" s="26" t="s">
        <v>403</v>
      </c>
      <c r="F130" s="37">
        <v>6.0</v>
      </c>
      <c r="G130" s="26" t="s">
        <v>281</v>
      </c>
      <c r="H130" s="52">
        <v>2013.0</v>
      </c>
      <c r="I130" s="2"/>
      <c r="J130" s="2"/>
      <c r="K130" s="17" t="s">
        <v>417</v>
      </c>
      <c r="L130" s="2"/>
      <c r="M130" s="17" t="s">
        <v>418</v>
      </c>
      <c r="N130" s="17" t="s">
        <v>419</v>
      </c>
      <c r="O130" s="17">
        <v>0.0</v>
      </c>
      <c r="P130" s="17" t="s">
        <v>36</v>
      </c>
      <c r="Q130" s="2"/>
      <c r="R130" s="2"/>
      <c r="S130" s="2"/>
      <c r="T130" s="2"/>
      <c r="U130" s="2"/>
      <c r="V130" s="2"/>
      <c r="W130" s="2"/>
      <c r="X130" s="2"/>
      <c r="Y130" s="2"/>
    </row>
    <row r="131" ht="22.5" customHeight="1">
      <c r="A131" s="26" t="s">
        <v>405</v>
      </c>
      <c r="B131" s="26" t="s">
        <v>406</v>
      </c>
      <c r="C131" s="51"/>
      <c r="D131" s="26" t="s">
        <v>407</v>
      </c>
      <c r="E131" s="26" t="s">
        <v>408</v>
      </c>
      <c r="F131" s="37">
        <v>1.0</v>
      </c>
      <c r="G131" s="26" t="s">
        <v>31</v>
      </c>
      <c r="H131" s="52">
        <v>2013.0</v>
      </c>
      <c r="I131" s="2"/>
      <c r="J131" s="2"/>
      <c r="K131" s="17" t="s">
        <v>420</v>
      </c>
      <c r="L131" s="17" t="s">
        <v>421</v>
      </c>
      <c r="M131" s="17" t="s">
        <v>422</v>
      </c>
      <c r="N131" s="17" t="s">
        <v>423</v>
      </c>
      <c r="O131" s="17">
        <v>0.0</v>
      </c>
      <c r="P131" s="17" t="s">
        <v>36</v>
      </c>
      <c r="Q131" s="2"/>
      <c r="R131" s="17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26" t="s">
        <v>383</v>
      </c>
      <c r="B132" s="26" t="s">
        <v>384</v>
      </c>
      <c r="C132" s="51"/>
      <c r="D132" s="26">
        <v>6387.0</v>
      </c>
      <c r="E132" s="26" t="s">
        <v>142</v>
      </c>
      <c r="F132" s="37">
        <v>0.0</v>
      </c>
      <c r="G132" s="26" t="s">
        <v>36</v>
      </c>
      <c r="H132" s="52">
        <v>2013.0</v>
      </c>
      <c r="I132" s="2"/>
      <c r="J132" s="2"/>
      <c r="K132" s="17" t="s">
        <v>424</v>
      </c>
      <c r="L132" s="17" t="s">
        <v>425</v>
      </c>
      <c r="M132" s="17" t="s">
        <v>426</v>
      </c>
      <c r="N132" s="17" t="s">
        <v>427</v>
      </c>
      <c r="O132" s="17">
        <v>0.0</v>
      </c>
      <c r="P132" s="17" t="s">
        <v>36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26" t="s">
        <v>189</v>
      </c>
      <c r="B133" s="26" t="s">
        <v>190</v>
      </c>
      <c r="C133" s="51"/>
      <c r="D133" s="26" t="s">
        <v>409</v>
      </c>
      <c r="E133" s="26" t="s">
        <v>410</v>
      </c>
      <c r="F133" s="37">
        <v>3.0</v>
      </c>
      <c r="G133" s="26" t="s">
        <v>284</v>
      </c>
      <c r="H133" s="52">
        <v>2013.0</v>
      </c>
      <c r="I133" s="2"/>
      <c r="J133" s="2"/>
      <c r="K133" s="17" t="s">
        <v>428</v>
      </c>
      <c r="L133" s="17" t="s">
        <v>429</v>
      </c>
      <c r="M133" s="17" t="s">
        <v>430</v>
      </c>
      <c r="N133" s="17" t="s">
        <v>290</v>
      </c>
      <c r="O133" s="17">
        <v>0.0</v>
      </c>
      <c r="P133" s="17" t="s">
        <v>36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26" t="s">
        <v>411</v>
      </c>
      <c r="B134" s="26" t="s">
        <v>380</v>
      </c>
      <c r="C134" s="51"/>
      <c r="D134" s="26" t="s">
        <v>412</v>
      </c>
      <c r="E134" s="26" t="s">
        <v>413</v>
      </c>
      <c r="F134" s="37">
        <v>0.0</v>
      </c>
      <c r="G134" s="26" t="s">
        <v>36</v>
      </c>
      <c r="H134" s="52">
        <v>2013.0</v>
      </c>
      <c r="I134" s="2"/>
      <c r="J134" s="2"/>
      <c r="K134" s="17" t="s">
        <v>431</v>
      </c>
      <c r="L134" s="2"/>
      <c r="M134" s="17" t="s">
        <v>432</v>
      </c>
      <c r="N134" s="17" t="s">
        <v>433</v>
      </c>
      <c r="O134" s="17">
        <v>1.0</v>
      </c>
      <c r="P134" s="17" t="s">
        <v>31</v>
      </c>
      <c r="Q134" s="2"/>
      <c r="R134" s="2"/>
      <c r="S134" s="2"/>
      <c r="T134" s="2"/>
      <c r="U134" s="2"/>
      <c r="V134" s="2"/>
      <c r="W134" s="2"/>
      <c r="X134" s="2"/>
      <c r="Y134" s="2"/>
    </row>
    <row r="135" ht="22.5" customHeight="1">
      <c r="A135" s="26" t="s">
        <v>414</v>
      </c>
      <c r="B135" s="26" t="s">
        <v>28</v>
      </c>
      <c r="C135" s="51"/>
      <c r="D135" s="26" t="s">
        <v>415</v>
      </c>
      <c r="E135" s="26" t="s">
        <v>416</v>
      </c>
      <c r="F135" s="37">
        <v>0.0</v>
      </c>
      <c r="G135" s="26" t="s">
        <v>36</v>
      </c>
      <c r="H135" s="52">
        <v>2013.0</v>
      </c>
      <c r="I135" s="2"/>
      <c r="J135" s="2"/>
      <c r="K135" s="17" t="s">
        <v>434</v>
      </c>
      <c r="L135" s="17" t="s">
        <v>84</v>
      </c>
      <c r="M135" s="17" t="s">
        <v>435</v>
      </c>
      <c r="N135" s="17" t="s">
        <v>364</v>
      </c>
      <c r="O135" s="17">
        <v>1.0</v>
      </c>
      <c r="P135" s="17" t="s">
        <v>31</v>
      </c>
      <c r="Q135" s="17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20" t="s">
        <v>417</v>
      </c>
      <c r="B136" s="40"/>
      <c r="C136" s="50"/>
      <c r="D136" s="20" t="s">
        <v>418</v>
      </c>
      <c r="E136" s="20" t="s">
        <v>419</v>
      </c>
      <c r="F136" s="31">
        <v>0.0</v>
      </c>
      <c r="G136" s="20" t="s">
        <v>36</v>
      </c>
      <c r="H136" s="31">
        <v>2013.0</v>
      </c>
      <c r="I136" s="2"/>
      <c r="J136" s="2"/>
      <c r="K136" s="17" t="s">
        <v>436</v>
      </c>
      <c r="L136" s="17" t="s">
        <v>437</v>
      </c>
      <c r="M136" s="17" t="s">
        <v>438</v>
      </c>
      <c r="N136" s="17" t="s">
        <v>439</v>
      </c>
      <c r="O136" s="17">
        <v>0.0</v>
      </c>
      <c r="P136" s="17" t="s">
        <v>36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26" t="s">
        <v>420</v>
      </c>
      <c r="B137" s="26" t="s">
        <v>421</v>
      </c>
      <c r="C137" s="51"/>
      <c r="D137" s="26" t="s">
        <v>422</v>
      </c>
      <c r="E137" s="26" t="s">
        <v>423</v>
      </c>
      <c r="F137" s="37">
        <v>0.0</v>
      </c>
      <c r="G137" s="26" t="s">
        <v>36</v>
      </c>
      <c r="H137" s="52">
        <v>2013.0</v>
      </c>
      <c r="I137" s="2"/>
      <c r="J137" s="2"/>
      <c r="K137" s="17" t="s">
        <v>440</v>
      </c>
      <c r="L137" s="17" t="s">
        <v>441</v>
      </c>
      <c r="M137" s="17" t="s">
        <v>442</v>
      </c>
      <c r="N137" s="17" t="s">
        <v>443</v>
      </c>
      <c r="O137" s="17">
        <v>0.0</v>
      </c>
      <c r="P137" s="17" t="s">
        <v>36</v>
      </c>
      <c r="Q137" s="2"/>
      <c r="R137" s="17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26" t="s">
        <v>424</v>
      </c>
      <c r="B138" s="26" t="s">
        <v>425</v>
      </c>
      <c r="C138" s="51"/>
      <c r="D138" s="26" t="s">
        <v>426</v>
      </c>
      <c r="E138" s="26" t="s">
        <v>427</v>
      </c>
      <c r="F138" s="37">
        <v>0.0</v>
      </c>
      <c r="G138" s="26" t="s">
        <v>36</v>
      </c>
      <c r="H138" s="52">
        <v>2013.0</v>
      </c>
      <c r="I138" s="2"/>
      <c r="J138" s="2"/>
      <c r="K138" s="17" t="s">
        <v>444</v>
      </c>
      <c r="L138" s="2"/>
      <c r="M138" s="17" t="s">
        <v>445</v>
      </c>
      <c r="N138" s="17" t="s">
        <v>446</v>
      </c>
      <c r="O138" s="17">
        <v>49.0</v>
      </c>
      <c r="P138" s="17" t="s">
        <v>447</v>
      </c>
      <c r="Q138" s="17"/>
      <c r="R138" s="17"/>
      <c r="S138" s="2"/>
      <c r="T138" s="2"/>
      <c r="U138" s="2"/>
      <c r="V138" s="2"/>
      <c r="W138" s="2"/>
      <c r="X138" s="2"/>
      <c r="Y138" s="2"/>
    </row>
    <row r="139" ht="22.5" customHeight="1">
      <c r="A139" s="26" t="s">
        <v>428</v>
      </c>
      <c r="B139" s="26" t="s">
        <v>429</v>
      </c>
      <c r="C139" s="51"/>
      <c r="D139" s="26" t="s">
        <v>430</v>
      </c>
      <c r="E139" s="26" t="s">
        <v>290</v>
      </c>
      <c r="F139" s="37">
        <v>0.0</v>
      </c>
      <c r="G139" s="26" t="s">
        <v>36</v>
      </c>
      <c r="H139" s="52">
        <v>2013.0</v>
      </c>
      <c r="I139" s="2"/>
      <c r="J139" s="2"/>
      <c r="K139" s="17" t="s">
        <v>46</v>
      </c>
      <c r="L139" s="17" t="s">
        <v>47</v>
      </c>
      <c r="M139" s="17" t="s">
        <v>448</v>
      </c>
      <c r="N139" s="17" t="s">
        <v>449</v>
      </c>
      <c r="O139" s="17">
        <v>19.0</v>
      </c>
      <c r="P139" s="17" t="s">
        <v>330</v>
      </c>
      <c r="Q139" s="17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20" t="s">
        <v>431</v>
      </c>
      <c r="B140" s="40"/>
      <c r="C140" s="50"/>
      <c r="D140" s="20" t="s">
        <v>432</v>
      </c>
      <c r="E140" s="20" t="s">
        <v>433</v>
      </c>
      <c r="F140" s="31">
        <v>1.0</v>
      </c>
      <c r="G140" s="20" t="s">
        <v>31</v>
      </c>
      <c r="H140" s="31">
        <v>2013.0</v>
      </c>
      <c r="I140" s="2"/>
      <c r="J140" s="2"/>
      <c r="K140" s="17" t="s">
        <v>51</v>
      </c>
      <c r="L140" s="17" t="s">
        <v>52</v>
      </c>
      <c r="M140" s="17" t="s">
        <v>450</v>
      </c>
      <c r="N140" s="17" t="s">
        <v>451</v>
      </c>
      <c r="O140" s="17">
        <v>29.0</v>
      </c>
      <c r="P140" s="17" t="s">
        <v>452</v>
      </c>
      <c r="Q140" s="17"/>
      <c r="R140" s="17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26" t="s">
        <v>434</v>
      </c>
      <c r="B141" s="26" t="s">
        <v>84</v>
      </c>
      <c r="C141" s="51"/>
      <c r="D141" s="26" t="s">
        <v>435</v>
      </c>
      <c r="E141" s="26" t="s">
        <v>364</v>
      </c>
      <c r="F141" s="37">
        <v>1.0</v>
      </c>
      <c r="G141" s="26" t="s">
        <v>31</v>
      </c>
      <c r="H141" s="52">
        <v>2013.0</v>
      </c>
      <c r="I141" s="2"/>
      <c r="J141" s="2"/>
      <c r="K141" s="17" t="s">
        <v>453</v>
      </c>
      <c r="L141" s="17" t="s">
        <v>454</v>
      </c>
      <c r="M141" s="17" t="s">
        <v>455</v>
      </c>
      <c r="N141" s="17" t="s">
        <v>456</v>
      </c>
      <c r="O141" s="17">
        <v>1.0</v>
      </c>
      <c r="P141" s="17" t="s">
        <v>31</v>
      </c>
      <c r="Q141" s="2"/>
      <c r="R141" s="17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26" t="s">
        <v>436</v>
      </c>
      <c r="B142" s="26" t="s">
        <v>437</v>
      </c>
      <c r="C142" s="51"/>
      <c r="D142" s="26" t="s">
        <v>438</v>
      </c>
      <c r="E142" s="26" t="s">
        <v>439</v>
      </c>
      <c r="F142" s="37">
        <v>0.0</v>
      </c>
      <c r="G142" s="26" t="s">
        <v>36</v>
      </c>
      <c r="H142" s="52">
        <v>2013.0</v>
      </c>
      <c r="I142" s="2"/>
      <c r="J142" s="2"/>
      <c r="K142" s="17" t="s">
        <v>117</v>
      </c>
      <c r="L142" s="17" t="s">
        <v>457</v>
      </c>
      <c r="M142" s="17" t="s">
        <v>458</v>
      </c>
      <c r="N142" s="17" t="s">
        <v>459</v>
      </c>
      <c r="O142" s="17">
        <v>3.0</v>
      </c>
      <c r="P142" s="17" t="s">
        <v>284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26" t="s">
        <v>440</v>
      </c>
      <c r="B143" s="26" t="s">
        <v>441</v>
      </c>
      <c r="C143" s="51"/>
      <c r="D143" s="26" t="s">
        <v>442</v>
      </c>
      <c r="E143" s="26" t="s">
        <v>443</v>
      </c>
      <c r="F143" s="37">
        <v>0.0</v>
      </c>
      <c r="G143" s="26" t="s">
        <v>36</v>
      </c>
      <c r="H143" s="52">
        <v>2013.0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20" t="s">
        <v>444</v>
      </c>
      <c r="B144" s="40"/>
      <c r="C144" s="50"/>
      <c r="D144" s="20" t="s">
        <v>445</v>
      </c>
      <c r="E144" s="20" t="s">
        <v>446</v>
      </c>
      <c r="F144" s="31">
        <v>49.0</v>
      </c>
      <c r="G144" s="20" t="s">
        <v>447</v>
      </c>
      <c r="H144" s="31">
        <v>2013.0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26" t="s">
        <v>46</v>
      </c>
      <c r="B145" s="26" t="s">
        <v>47</v>
      </c>
      <c r="C145" s="51"/>
      <c r="D145" s="26" t="s">
        <v>448</v>
      </c>
      <c r="E145" s="26" t="s">
        <v>449</v>
      </c>
      <c r="F145" s="37">
        <v>19.0</v>
      </c>
      <c r="G145" s="26" t="s">
        <v>330</v>
      </c>
      <c r="H145" s="52">
        <v>2013.0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26" t="s">
        <v>51</v>
      </c>
      <c r="B146" s="26" t="s">
        <v>52</v>
      </c>
      <c r="C146" s="51"/>
      <c r="D146" s="26" t="s">
        <v>450</v>
      </c>
      <c r="E146" s="26" t="s">
        <v>451</v>
      </c>
      <c r="F146" s="37">
        <v>29.0</v>
      </c>
      <c r="G146" s="26" t="s">
        <v>452</v>
      </c>
      <c r="H146" s="52">
        <v>2013.0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26" t="s">
        <v>453</v>
      </c>
      <c r="B147" s="26" t="s">
        <v>454</v>
      </c>
      <c r="C147" s="51"/>
      <c r="D147" s="26" t="s">
        <v>455</v>
      </c>
      <c r="E147" s="26" t="s">
        <v>456</v>
      </c>
      <c r="F147" s="37">
        <v>1.0</v>
      </c>
      <c r="G147" s="26" t="s">
        <v>31</v>
      </c>
      <c r="H147" s="52">
        <v>2013.0</v>
      </c>
      <c r="I147" s="2"/>
      <c r="J147" s="2"/>
      <c r="K147" s="17" t="s">
        <v>0</v>
      </c>
      <c r="L147" s="17" t="s">
        <v>1</v>
      </c>
      <c r="M147" s="17" t="s">
        <v>3</v>
      </c>
      <c r="N147" s="17" t="s">
        <v>460</v>
      </c>
      <c r="O147" s="17" t="s">
        <v>461</v>
      </c>
      <c r="P147" s="17" t="s">
        <v>460</v>
      </c>
      <c r="Q147" s="17"/>
      <c r="R147" s="17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26" t="s">
        <v>117</v>
      </c>
      <c r="B148" s="26" t="s">
        <v>457</v>
      </c>
      <c r="C148" s="51"/>
      <c r="D148" s="26" t="s">
        <v>458</v>
      </c>
      <c r="E148" s="26" t="s">
        <v>459</v>
      </c>
      <c r="F148" s="37">
        <v>3.0</v>
      </c>
      <c r="G148" s="26" t="s">
        <v>284</v>
      </c>
      <c r="H148" s="52">
        <v>2013.0</v>
      </c>
      <c r="I148" s="2"/>
      <c r="J148" s="2"/>
      <c r="K148" s="32" t="s">
        <v>462</v>
      </c>
      <c r="L148" s="2"/>
      <c r="M148" s="17" t="s">
        <v>463</v>
      </c>
      <c r="N148" s="17" t="s">
        <v>464</v>
      </c>
      <c r="O148" s="17">
        <v>1.0</v>
      </c>
      <c r="P148" s="17" t="s">
        <v>465</v>
      </c>
      <c r="Q148" s="2"/>
      <c r="R148" s="2"/>
      <c r="S148" s="2"/>
      <c r="T148" s="2"/>
      <c r="U148" s="2"/>
      <c r="V148" s="2"/>
      <c r="W148" s="2"/>
      <c r="X148" s="2"/>
      <c r="Y148" s="2"/>
    </row>
    <row r="149" ht="22.5" customHeight="1">
      <c r="A149" s="20" t="s">
        <v>462</v>
      </c>
      <c r="B149" s="40"/>
      <c r="C149" s="50"/>
      <c r="D149" s="20" t="s">
        <v>463</v>
      </c>
      <c r="E149" s="20" t="s">
        <v>464</v>
      </c>
      <c r="F149" s="31">
        <v>1.0</v>
      </c>
      <c r="G149" s="20" t="s">
        <v>465</v>
      </c>
      <c r="H149" s="31">
        <v>2017.0</v>
      </c>
      <c r="I149" s="2"/>
      <c r="J149" s="2"/>
      <c r="K149" s="17" t="s">
        <v>436</v>
      </c>
      <c r="L149" s="17" t="s">
        <v>437</v>
      </c>
      <c r="M149" s="17" t="s">
        <v>466</v>
      </c>
      <c r="N149" s="17" t="s">
        <v>467</v>
      </c>
      <c r="O149" s="17">
        <v>1.0</v>
      </c>
      <c r="P149" s="17" t="s">
        <v>465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26" t="s">
        <v>436</v>
      </c>
      <c r="B150" s="26" t="s">
        <v>437</v>
      </c>
      <c r="C150" s="51"/>
      <c r="D150" s="26" t="s">
        <v>466</v>
      </c>
      <c r="E150" s="26" t="s">
        <v>467</v>
      </c>
      <c r="F150" s="37">
        <v>1.0</v>
      </c>
      <c r="G150" s="26" t="s">
        <v>465</v>
      </c>
      <c r="H150" s="52">
        <v>2017.0</v>
      </c>
      <c r="I150" s="2"/>
      <c r="J150" s="2"/>
      <c r="K150" s="17" t="s">
        <v>468</v>
      </c>
      <c r="L150" s="17" t="s">
        <v>104</v>
      </c>
      <c r="M150" s="17" t="s">
        <v>469</v>
      </c>
      <c r="N150" s="17" t="s">
        <v>470</v>
      </c>
      <c r="O150" s="17">
        <v>0.0</v>
      </c>
      <c r="P150" s="17" t="s">
        <v>193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26" t="s">
        <v>468</v>
      </c>
      <c r="B151" s="26" t="s">
        <v>104</v>
      </c>
      <c r="C151" s="51"/>
      <c r="D151" s="26" t="s">
        <v>469</v>
      </c>
      <c r="E151" s="26" t="s">
        <v>470</v>
      </c>
      <c r="F151" s="37">
        <v>0.0</v>
      </c>
      <c r="G151" s="26" t="s">
        <v>193</v>
      </c>
      <c r="H151" s="52">
        <v>2017.0</v>
      </c>
      <c r="I151" s="2"/>
      <c r="J151" s="2"/>
      <c r="K151" s="32" t="s">
        <v>471</v>
      </c>
      <c r="L151" s="17" t="s">
        <v>472</v>
      </c>
      <c r="M151" s="17">
        <v>4665.0</v>
      </c>
      <c r="N151" s="17" t="s">
        <v>473</v>
      </c>
      <c r="O151" s="17">
        <v>0.0</v>
      </c>
      <c r="P151" s="17" t="s">
        <v>193</v>
      </c>
      <c r="Q151" s="2"/>
      <c r="R151" s="2"/>
      <c r="S151" s="2"/>
      <c r="T151" s="2"/>
      <c r="U151" s="2"/>
      <c r="V151" s="2"/>
      <c r="W151" s="2"/>
      <c r="X151" s="2"/>
      <c r="Y151" s="2"/>
    </row>
    <row r="152" ht="22.5" customHeight="1">
      <c r="A152" s="26" t="s">
        <v>471</v>
      </c>
      <c r="B152" s="26" t="s">
        <v>472</v>
      </c>
      <c r="C152" s="51"/>
      <c r="D152" s="26">
        <v>4665.0</v>
      </c>
      <c r="E152" s="26" t="s">
        <v>473</v>
      </c>
      <c r="F152" s="37">
        <v>0.0</v>
      </c>
      <c r="G152" s="26" t="s">
        <v>193</v>
      </c>
      <c r="H152" s="52">
        <v>2017.0</v>
      </c>
      <c r="I152" s="2"/>
      <c r="J152" s="2"/>
      <c r="K152" s="32" t="s">
        <v>474</v>
      </c>
      <c r="L152" s="2"/>
      <c r="M152" s="17" t="s">
        <v>475</v>
      </c>
      <c r="N152" s="17" t="s">
        <v>476</v>
      </c>
      <c r="O152" s="17">
        <v>20.0</v>
      </c>
      <c r="P152" s="17" t="s">
        <v>477</v>
      </c>
      <c r="Q152" s="2"/>
      <c r="R152" s="2"/>
      <c r="S152" s="2"/>
      <c r="T152" s="2"/>
      <c r="U152" s="2"/>
      <c r="V152" s="2"/>
      <c r="W152" s="2"/>
      <c r="X152" s="2"/>
      <c r="Y152" s="2"/>
    </row>
    <row r="153" ht="22.5" customHeight="1">
      <c r="A153" s="20" t="s">
        <v>474</v>
      </c>
      <c r="B153" s="40"/>
      <c r="C153" s="50"/>
      <c r="D153" s="20" t="s">
        <v>475</v>
      </c>
      <c r="E153" s="20" t="s">
        <v>476</v>
      </c>
      <c r="F153" s="31">
        <v>20.0</v>
      </c>
      <c r="G153" s="20" t="s">
        <v>477</v>
      </c>
      <c r="H153" s="31">
        <v>2017.0</v>
      </c>
      <c r="I153" s="2"/>
      <c r="J153" s="2"/>
      <c r="K153" s="17" t="s">
        <v>478</v>
      </c>
      <c r="L153" s="17" t="s">
        <v>479</v>
      </c>
      <c r="M153" s="17" t="s">
        <v>480</v>
      </c>
      <c r="N153" s="17" t="s">
        <v>481</v>
      </c>
      <c r="O153" s="17">
        <v>10.0</v>
      </c>
      <c r="P153" s="17" t="s">
        <v>482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26" t="s">
        <v>478</v>
      </c>
      <c r="B154" s="26" t="s">
        <v>479</v>
      </c>
      <c r="C154" s="51"/>
      <c r="D154" s="26" t="s">
        <v>480</v>
      </c>
      <c r="E154" s="26" t="s">
        <v>481</v>
      </c>
      <c r="F154" s="37">
        <v>10.0</v>
      </c>
      <c r="G154" s="26" t="s">
        <v>482</v>
      </c>
      <c r="H154" s="52">
        <v>2017.0</v>
      </c>
      <c r="I154" s="2"/>
      <c r="J154" s="2"/>
      <c r="K154" s="17" t="s">
        <v>27</v>
      </c>
      <c r="L154" s="17" t="s">
        <v>28</v>
      </c>
      <c r="M154" s="17" t="s">
        <v>483</v>
      </c>
      <c r="N154" s="17" t="s">
        <v>484</v>
      </c>
      <c r="O154" s="17">
        <v>5.0</v>
      </c>
      <c r="P154" s="17" t="s">
        <v>485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26" t="s">
        <v>27</v>
      </c>
      <c r="B155" s="26" t="s">
        <v>28</v>
      </c>
      <c r="C155" s="51"/>
      <c r="D155" s="26" t="s">
        <v>483</v>
      </c>
      <c r="E155" s="26" t="s">
        <v>484</v>
      </c>
      <c r="F155" s="37">
        <v>5.0</v>
      </c>
      <c r="G155" s="26" t="s">
        <v>485</v>
      </c>
      <c r="H155" s="52">
        <v>2017.0</v>
      </c>
      <c r="I155" s="2"/>
      <c r="J155" s="2"/>
      <c r="K155" s="17" t="s">
        <v>83</v>
      </c>
      <c r="L155" s="17" t="s">
        <v>84</v>
      </c>
      <c r="M155" s="17" t="s">
        <v>486</v>
      </c>
      <c r="N155" s="17" t="s">
        <v>487</v>
      </c>
      <c r="O155" s="17">
        <v>2.0</v>
      </c>
      <c r="P155" s="17" t="s">
        <v>488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26" t="s">
        <v>83</v>
      </c>
      <c r="B156" s="26" t="s">
        <v>84</v>
      </c>
      <c r="C156" s="51"/>
      <c r="D156" s="26" t="s">
        <v>486</v>
      </c>
      <c r="E156" s="26" t="s">
        <v>487</v>
      </c>
      <c r="F156" s="37">
        <v>2.0</v>
      </c>
      <c r="G156" s="26" t="s">
        <v>488</v>
      </c>
      <c r="H156" s="52">
        <v>2017.0</v>
      </c>
      <c r="I156" s="2"/>
      <c r="J156" s="2"/>
      <c r="K156" s="17" t="s">
        <v>424</v>
      </c>
      <c r="L156" s="17" t="s">
        <v>425</v>
      </c>
      <c r="M156" s="17" t="s">
        <v>489</v>
      </c>
      <c r="N156" s="17" t="s">
        <v>490</v>
      </c>
      <c r="O156" s="17">
        <v>1.0</v>
      </c>
      <c r="P156" s="17" t="s">
        <v>465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26" t="s">
        <v>424</v>
      </c>
      <c r="B157" s="26" t="s">
        <v>425</v>
      </c>
      <c r="C157" s="51"/>
      <c r="D157" s="26" t="s">
        <v>489</v>
      </c>
      <c r="E157" s="26" t="s">
        <v>490</v>
      </c>
      <c r="F157" s="37">
        <v>1.0</v>
      </c>
      <c r="G157" s="26" t="s">
        <v>465</v>
      </c>
      <c r="H157" s="52">
        <v>2017.0</v>
      </c>
      <c r="I157" s="2"/>
      <c r="J157" s="2"/>
      <c r="K157" s="17" t="s">
        <v>420</v>
      </c>
      <c r="L157" s="17" t="s">
        <v>491</v>
      </c>
      <c r="M157" s="17" t="s">
        <v>492</v>
      </c>
      <c r="N157" s="17" t="s">
        <v>493</v>
      </c>
      <c r="O157" s="17">
        <v>1.0</v>
      </c>
      <c r="P157" s="17" t="s">
        <v>465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26" t="s">
        <v>420</v>
      </c>
      <c r="B158" s="26" t="s">
        <v>491</v>
      </c>
      <c r="C158" s="51"/>
      <c r="D158" s="26" t="s">
        <v>492</v>
      </c>
      <c r="E158" s="26" t="s">
        <v>493</v>
      </c>
      <c r="F158" s="37">
        <v>1.0</v>
      </c>
      <c r="G158" s="26" t="s">
        <v>465</v>
      </c>
      <c r="H158" s="52">
        <v>2017.0</v>
      </c>
      <c r="I158" s="2"/>
      <c r="J158" s="2"/>
      <c r="K158" s="17" t="s">
        <v>494</v>
      </c>
      <c r="L158" s="17" t="s">
        <v>495</v>
      </c>
      <c r="M158" s="17" t="s">
        <v>496</v>
      </c>
      <c r="N158" s="17" t="s">
        <v>497</v>
      </c>
      <c r="O158" s="17">
        <v>1.0</v>
      </c>
      <c r="P158" s="17" t="s">
        <v>465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26" t="s">
        <v>494</v>
      </c>
      <c r="B159" s="26" t="s">
        <v>495</v>
      </c>
      <c r="C159" s="51"/>
      <c r="D159" s="26" t="s">
        <v>496</v>
      </c>
      <c r="E159" s="26" t="s">
        <v>497</v>
      </c>
      <c r="F159" s="37">
        <v>1.0</v>
      </c>
      <c r="G159" s="26" t="s">
        <v>465</v>
      </c>
      <c r="H159" s="52">
        <v>2017.0</v>
      </c>
      <c r="I159" s="2"/>
      <c r="J159" s="2"/>
      <c r="K159" s="32" t="s">
        <v>498</v>
      </c>
      <c r="L159" s="2"/>
      <c r="M159" s="17" t="s">
        <v>499</v>
      </c>
      <c r="N159" s="17" t="s">
        <v>500</v>
      </c>
      <c r="O159" s="17">
        <v>0.0</v>
      </c>
      <c r="P159" s="17" t="s">
        <v>193</v>
      </c>
      <c r="Q159" s="2"/>
      <c r="R159" s="2"/>
      <c r="S159" s="2"/>
      <c r="T159" s="2"/>
      <c r="U159" s="2"/>
      <c r="V159" s="2"/>
      <c r="W159" s="2"/>
      <c r="X159" s="2"/>
      <c r="Y159" s="2"/>
    </row>
    <row r="160" ht="22.5" customHeight="1">
      <c r="A160" s="20" t="s">
        <v>498</v>
      </c>
      <c r="B160" s="40"/>
      <c r="C160" s="50"/>
      <c r="D160" s="20" t="s">
        <v>499</v>
      </c>
      <c r="E160" s="20" t="s">
        <v>500</v>
      </c>
      <c r="F160" s="31">
        <v>0.0</v>
      </c>
      <c r="G160" s="20" t="s">
        <v>193</v>
      </c>
      <c r="H160" s="31">
        <v>2017.0</v>
      </c>
      <c r="I160" s="2"/>
      <c r="J160" s="2"/>
      <c r="K160" s="17" t="s">
        <v>501</v>
      </c>
      <c r="L160" s="17" t="s">
        <v>502</v>
      </c>
      <c r="M160" s="17" t="s">
        <v>503</v>
      </c>
      <c r="N160" s="17" t="s">
        <v>504</v>
      </c>
      <c r="O160" s="17">
        <v>0.0</v>
      </c>
      <c r="P160" s="17" t="s">
        <v>193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26" t="s">
        <v>501</v>
      </c>
      <c r="B161" s="26" t="s">
        <v>502</v>
      </c>
      <c r="C161" s="51"/>
      <c r="D161" s="26" t="s">
        <v>503</v>
      </c>
      <c r="E161" s="26" t="s">
        <v>504</v>
      </c>
      <c r="F161" s="37">
        <v>0.0</v>
      </c>
      <c r="G161" s="26" t="s">
        <v>193</v>
      </c>
      <c r="H161" s="52">
        <v>2017.0</v>
      </c>
      <c r="I161" s="2"/>
      <c r="J161" s="2"/>
      <c r="K161" s="17" t="s">
        <v>505</v>
      </c>
      <c r="L161" s="17" t="s">
        <v>506</v>
      </c>
      <c r="M161" s="17" t="s">
        <v>507</v>
      </c>
      <c r="N161" s="17" t="s">
        <v>508</v>
      </c>
      <c r="O161" s="17">
        <v>0.0</v>
      </c>
      <c r="P161" s="17" t="s">
        <v>193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26" t="s">
        <v>505</v>
      </c>
      <c r="B162" s="26" t="s">
        <v>506</v>
      </c>
      <c r="C162" s="51"/>
      <c r="D162" s="26" t="s">
        <v>507</v>
      </c>
      <c r="E162" s="26" t="s">
        <v>508</v>
      </c>
      <c r="F162" s="37">
        <v>0.0</v>
      </c>
      <c r="G162" s="26" t="s">
        <v>193</v>
      </c>
      <c r="H162" s="52">
        <v>2017.0</v>
      </c>
      <c r="I162" s="2"/>
      <c r="J162" s="2"/>
      <c r="K162" s="17" t="s">
        <v>509</v>
      </c>
      <c r="L162" s="17" t="s">
        <v>510</v>
      </c>
      <c r="M162" s="17">
        <v>2875.0</v>
      </c>
      <c r="N162" s="17" t="s">
        <v>511</v>
      </c>
      <c r="O162" s="17">
        <v>0.0</v>
      </c>
      <c r="P162" s="17" t="s">
        <v>193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26" t="s">
        <v>509</v>
      </c>
      <c r="B163" s="26" t="s">
        <v>510</v>
      </c>
      <c r="C163" s="51"/>
      <c r="D163" s="26">
        <v>2875.0</v>
      </c>
      <c r="E163" s="26" t="s">
        <v>511</v>
      </c>
      <c r="F163" s="37">
        <v>0.0</v>
      </c>
      <c r="G163" s="26" t="s">
        <v>193</v>
      </c>
      <c r="H163" s="52">
        <v>2017.0</v>
      </c>
      <c r="I163" s="2"/>
      <c r="J163" s="2"/>
      <c r="K163" s="32" t="s">
        <v>512</v>
      </c>
      <c r="L163" s="2"/>
      <c r="M163" s="17" t="s">
        <v>513</v>
      </c>
      <c r="N163" s="17" t="s">
        <v>514</v>
      </c>
      <c r="O163" s="17">
        <v>4.0</v>
      </c>
      <c r="P163" s="17" t="s">
        <v>515</v>
      </c>
      <c r="Q163" s="2"/>
      <c r="R163" s="2"/>
      <c r="S163" s="2"/>
      <c r="T163" s="2"/>
      <c r="U163" s="2"/>
      <c r="V163" s="2"/>
      <c r="W163" s="2"/>
      <c r="X163" s="2"/>
      <c r="Y163" s="2"/>
    </row>
    <row r="164" ht="22.5" customHeight="1">
      <c r="A164" s="20" t="s">
        <v>512</v>
      </c>
      <c r="B164" s="40"/>
      <c r="C164" s="50"/>
      <c r="D164" s="20" t="s">
        <v>513</v>
      </c>
      <c r="E164" s="20" t="s">
        <v>514</v>
      </c>
      <c r="F164" s="31">
        <v>4.0</v>
      </c>
      <c r="G164" s="20" t="s">
        <v>515</v>
      </c>
      <c r="H164" s="31">
        <v>2017.0</v>
      </c>
      <c r="I164" s="2"/>
      <c r="J164" s="2"/>
      <c r="K164" s="17" t="s">
        <v>516</v>
      </c>
      <c r="L164" s="17" t="s">
        <v>517</v>
      </c>
      <c r="M164" s="17" t="s">
        <v>518</v>
      </c>
      <c r="N164" s="17" t="s">
        <v>500</v>
      </c>
      <c r="O164" s="17">
        <v>4.0</v>
      </c>
      <c r="P164" s="17" t="s">
        <v>515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26" t="s">
        <v>516</v>
      </c>
      <c r="B165" s="26" t="s">
        <v>517</v>
      </c>
      <c r="C165" s="51"/>
      <c r="D165" s="26" t="s">
        <v>518</v>
      </c>
      <c r="E165" s="26" t="s">
        <v>500</v>
      </c>
      <c r="F165" s="37">
        <v>4.0</v>
      </c>
      <c r="G165" s="26" t="s">
        <v>515</v>
      </c>
      <c r="H165" s="52">
        <v>2017.0</v>
      </c>
      <c r="I165" s="2"/>
      <c r="J165" s="2"/>
      <c r="K165" s="17" t="s">
        <v>519</v>
      </c>
      <c r="L165" s="17" t="s">
        <v>520</v>
      </c>
      <c r="M165" s="17" t="s">
        <v>521</v>
      </c>
      <c r="N165" s="17" t="s">
        <v>522</v>
      </c>
      <c r="O165" s="17">
        <v>0.0</v>
      </c>
      <c r="P165" s="17" t="s">
        <v>193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26" t="s">
        <v>519</v>
      </c>
      <c r="B166" s="26" t="s">
        <v>520</v>
      </c>
      <c r="C166" s="51"/>
      <c r="D166" s="26" t="s">
        <v>521</v>
      </c>
      <c r="E166" s="26" t="s">
        <v>522</v>
      </c>
      <c r="F166" s="37">
        <v>0.0</v>
      </c>
      <c r="G166" s="26" t="s">
        <v>193</v>
      </c>
      <c r="H166" s="52">
        <v>2017.0</v>
      </c>
      <c r="I166" s="2"/>
      <c r="J166" s="2"/>
      <c r="K166" s="32" t="s">
        <v>523</v>
      </c>
      <c r="L166" s="17" t="s">
        <v>524</v>
      </c>
      <c r="M166" s="17" t="s">
        <v>525</v>
      </c>
      <c r="N166" s="17" t="s">
        <v>526</v>
      </c>
      <c r="O166" s="17">
        <v>0.0</v>
      </c>
      <c r="P166" s="17" t="s">
        <v>193</v>
      </c>
      <c r="Q166" s="2"/>
      <c r="R166" s="2"/>
      <c r="S166" s="2"/>
      <c r="T166" s="2"/>
      <c r="U166" s="2"/>
      <c r="V166" s="2"/>
      <c r="W166" s="2"/>
      <c r="X166" s="2"/>
      <c r="Y166" s="2"/>
    </row>
    <row r="167" ht="22.5" customHeight="1">
      <c r="A167" s="26" t="s">
        <v>523</v>
      </c>
      <c r="B167" s="26" t="s">
        <v>524</v>
      </c>
      <c r="C167" s="51"/>
      <c r="D167" s="26" t="s">
        <v>525</v>
      </c>
      <c r="E167" s="26" t="s">
        <v>526</v>
      </c>
      <c r="F167" s="37">
        <v>0.0</v>
      </c>
      <c r="G167" s="26" t="s">
        <v>193</v>
      </c>
      <c r="H167" s="52">
        <v>2017.0</v>
      </c>
      <c r="I167" s="2"/>
      <c r="J167" s="2"/>
      <c r="K167" s="32" t="s">
        <v>527</v>
      </c>
      <c r="L167" s="2"/>
      <c r="M167" s="17" t="s">
        <v>528</v>
      </c>
      <c r="N167" s="17" t="s">
        <v>529</v>
      </c>
      <c r="O167" s="17">
        <v>43.0</v>
      </c>
      <c r="P167" s="17" t="s">
        <v>530</v>
      </c>
      <c r="Q167" s="17"/>
      <c r="R167" s="2"/>
      <c r="S167" s="2"/>
      <c r="T167" s="2"/>
      <c r="U167" s="2"/>
      <c r="V167" s="2"/>
      <c r="W167" s="2"/>
      <c r="X167" s="2"/>
      <c r="Y167" s="2"/>
    </row>
    <row r="168" ht="22.5" customHeight="1">
      <c r="A168" s="20" t="s">
        <v>527</v>
      </c>
      <c r="B168" s="40"/>
      <c r="C168" s="50"/>
      <c r="D168" s="20" t="s">
        <v>528</v>
      </c>
      <c r="E168" s="20" t="s">
        <v>529</v>
      </c>
      <c r="F168" s="31">
        <v>43.0</v>
      </c>
      <c r="G168" s="20" t="s">
        <v>530</v>
      </c>
      <c r="H168" s="31">
        <v>2017.0</v>
      </c>
      <c r="I168" s="2"/>
      <c r="J168" s="2"/>
      <c r="K168" s="17" t="s">
        <v>177</v>
      </c>
      <c r="L168" s="17" t="s">
        <v>178</v>
      </c>
      <c r="M168" s="17" t="s">
        <v>531</v>
      </c>
      <c r="N168" s="17" t="s">
        <v>532</v>
      </c>
      <c r="O168" s="17">
        <v>19.0</v>
      </c>
      <c r="P168" s="17" t="s">
        <v>533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26" t="s">
        <v>177</v>
      </c>
      <c r="B169" s="26" t="s">
        <v>178</v>
      </c>
      <c r="C169" s="51"/>
      <c r="D169" s="26" t="s">
        <v>531</v>
      </c>
      <c r="E169" s="26" t="s">
        <v>532</v>
      </c>
      <c r="F169" s="37">
        <v>19.0</v>
      </c>
      <c r="G169" s="26" t="s">
        <v>533</v>
      </c>
      <c r="H169" s="52">
        <v>2017.0</v>
      </c>
      <c r="I169" s="2"/>
      <c r="J169" s="2"/>
      <c r="K169" s="17" t="s">
        <v>17</v>
      </c>
      <c r="L169" s="17" t="s">
        <v>18</v>
      </c>
      <c r="M169" s="17" t="s">
        <v>534</v>
      </c>
      <c r="N169" s="17" t="s">
        <v>535</v>
      </c>
      <c r="O169" s="17">
        <v>8.0</v>
      </c>
      <c r="P169" s="17" t="s">
        <v>536</v>
      </c>
      <c r="Q169" s="17"/>
      <c r="R169" s="17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26" t="s">
        <v>17</v>
      </c>
      <c r="B170" s="26" t="s">
        <v>18</v>
      </c>
      <c r="C170" s="51"/>
      <c r="D170" s="26" t="s">
        <v>534</v>
      </c>
      <c r="E170" s="26" t="s">
        <v>535</v>
      </c>
      <c r="F170" s="37">
        <v>8.0</v>
      </c>
      <c r="G170" s="26" t="s">
        <v>536</v>
      </c>
      <c r="H170" s="52">
        <v>2017.0</v>
      </c>
      <c r="I170" s="2"/>
      <c r="J170" s="2"/>
      <c r="K170" s="17" t="s">
        <v>204</v>
      </c>
      <c r="L170" s="17" t="s">
        <v>133</v>
      </c>
      <c r="M170" s="17" t="s">
        <v>537</v>
      </c>
      <c r="N170" s="17" t="s">
        <v>538</v>
      </c>
      <c r="O170" s="17">
        <v>8.0</v>
      </c>
      <c r="P170" s="17" t="s">
        <v>536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26" t="s">
        <v>204</v>
      </c>
      <c r="B171" s="26" t="s">
        <v>133</v>
      </c>
      <c r="C171" s="51"/>
      <c r="D171" s="26" t="s">
        <v>537</v>
      </c>
      <c r="E171" s="26" t="s">
        <v>538</v>
      </c>
      <c r="F171" s="37">
        <v>8.0</v>
      </c>
      <c r="G171" s="26" t="s">
        <v>536</v>
      </c>
      <c r="H171" s="52">
        <v>2017.0</v>
      </c>
      <c r="I171" s="2"/>
      <c r="J171" s="2"/>
      <c r="K171" s="17" t="s">
        <v>183</v>
      </c>
      <c r="L171" s="17" t="s">
        <v>108</v>
      </c>
      <c r="M171" s="17" t="s">
        <v>539</v>
      </c>
      <c r="N171" s="17" t="s">
        <v>540</v>
      </c>
      <c r="O171" s="17">
        <v>8.0</v>
      </c>
      <c r="P171" s="17" t="s">
        <v>536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26" t="s">
        <v>183</v>
      </c>
      <c r="B172" s="26" t="s">
        <v>108</v>
      </c>
      <c r="C172" s="51"/>
      <c r="D172" s="26" t="s">
        <v>539</v>
      </c>
      <c r="E172" s="26" t="s">
        <v>540</v>
      </c>
      <c r="F172" s="37">
        <v>8.0</v>
      </c>
      <c r="G172" s="26" t="s">
        <v>536</v>
      </c>
      <c r="H172" s="52">
        <v>2017.0</v>
      </c>
      <c r="I172" s="2"/>
      <c r="J172" s="2"/>
      <c r="K172" s="32" t="s">
        <v>541</v>
      </c>
      <c r="L172" s="2"/>
      <c r="M172" s="17" t="s">
        <v>542</v>
      </c>
      <c r="N172" s="17" t="s">
        <v>543</v>
      </c>
      <c r="O172" s="17">
        <v>14.0</v>
      </c>
      <c r="P172" s="17" t="s">
        <v>544</v>
      </c>
      <c r="Q172" s="2"/>
      <c r="R172" s="17"/>
      <c r="S172" s="2"/>
      <c r="T172" s="2"/>
      <c r="U172" s="2"/>
      <c r="V172" s="2"/>
      <c r="W172" s="2"/>
      <c r="X172" s="2"/>
      <c r="Y172" s="2"/>
    </row>
    <row r="173" ht="22.5" customHeight="1">
      <c r="A173" s="20" t="s">
        <v>541</v>
      </c>
      <c r="B173" s="40"/>
      <c r="C173" s="50"/>
      <c r="D173" s="20" t="s">
        <v>542</v>
      </c>
      <c r="E173" s="20" t="s">
        <v>543</v>
      </c>
      <c r="F173" s="31">
        <v>14.0</v>
      </c>
      <c r="G173" s="20" t="s">
        <v>544</v>
      </c>
      <c r="H173" s="31">
        <v>2017.0</v>
      </c>
      <c r="I173" s="2"/>
      <c r="J173" s="2"/>
      <c r="K173" s="17" t="s">
        <v>12</v>
      </c>
      <c r="L173" s="17" t="s">
        <v>13</v>
      </c>
      <c r="M173" s="17" t="s">
        <v>545</v>
      </c>
      <c r="N173" s="17" t="s">
        <v>546</v>
      </c>
      <c r="O173" s="17">
        <v>14.0</v>
      </c>
      <c r="P173" s="17" t="s">
        <v>544</v>
      </c>
      <c r="Q173" s="17"/>
      <c r="R173" s="17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26" t="s">
        <v>12</v>
      </c>
      <c r="B174" s="26" t="s">
        <v>13</v>
      </c>
      <c r="C174" s="51"/>
      <c r="D174" s="26" t="s">
        <v>545</v>
      </c>
      <c r="E174" s="26" t="s">
        <v>546</v>
      </c>
      <c r="F174" s="37">
        <v>14.0</v>
      </c>
      <c r="G174" s="26" t="s">
        <v>544</v>
      </c>
      <c r="H174" s="52">
        <v>2017.0</v>
      </c>
      <c r="I174" s="2"/>
      <c r="J174" s="2"/>
      <c r="K174" s="17" t="s">
        <v>405</v>
      </c>
      <c r="L174" s="17" t="s">
        <v>406</v>
      </c>
      <c r="M174" s="17" t="s">
        <v>547</v>
      </c>
      <c r="N174" s="17" t="s">
        <v>548</v>
      </c>
      <c r="O174" s="17">
        <v>0.0</v>
      </c>
      <c r="P174" s="17" t="s">
        <v>193</v>
      </c>
      <c r="Q174" s="17"/>
      <c r="R174" s="17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26" t="s">
        <v>405</v>
      </c>
      <c r="B175" s="26" t="s">
        <v>406</v>
      </c>
      <c r="C175" s="51"/>
      <c r="D175" s="26" t="s">
        <v>547</v>
      </c>
      <c r="E175" s="26" t="s">
        <v>548</v>
      </c>
      <c r="F175" s="37">
        <v>0.0</v>
      </c>
      <c r="G175" s="26" t="s">
        <v>193</v>
      </c>
      <c r="H175" s="52">
        <v>2017.0</v>
      </c>
      <c r="I175" s="2"/>
      <c r="J175" s="2"/>
      <c r="K175" s="17" t="s">
        <v>549</v>
      </c>
      <c r="L175" s="17" t="s">
        <v>550</v>
      </c>
      <c r="M175" s="17">
        <v>9600.0</v>
      </c>
      <c r="N175" s="17" t="s">
        <v>551</v>
      </c>
      <c r="O175" s="17">
        <v>0.0</v>
      </c>
      <c r="P175" s="17" t="s">
        <v>193</v>
      </c>
      <c r="Q175" s="17"/>
      <c r="R175" s="17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26" t="s">
        <v>549</v>
      </c>
      <c r="B176" s="26" t="s">
        <v>550</v>
      </c>
      <c r="C176" s="51"/>
      <c r="D176" s="26">
        <v>9600.0</v>
      </c>
      <c r="E176" s="26" t="s">
        <v>551</v>
      </c>
      <c r="F176" s="37">
        <v>0.0</v>
      </c>
      <c r="G176" s="26" t="s">
        <v>193</v>
      </c>
      <c r="H176" s="52">
        <v>2017.0</v>
      </c>
      <c r="I176" s="2"/>
      <c r="J176" s="2"/>
      <c r="K176" s="32" t="s">
        <v>552</v>
      </c>
      <c r="L176" s="2"/>
      <c r="M176" s="17" t="s">
        <v>553</v>
      </c>
      <c r="N176" s="17" t="s">
        <v>554</v>
      </c>
      <c r="O176" s="17">
        <v>72.0</v>
      </c>
      <c r="P176" s="17" t="s">
        <v>555</v>
      </c>
      <c r="Q176" s="2"/>
      <c r="R176" s="2"/>
      <c r="S176" s="2"/>
      <c r="T176" s="2"/>
      <c r="U176" s="2"/>
      <c r="V176" s="2"/>
      <c r="W176" s="2"/>
      <c r="X176" s="2"/>
      <c r="Y176" s="2"/>
    </row>
    <row r="177" ht="22.5" customHeight="1">
      <c r="A177" s="20" t="s">
        <v>552</v>
      </c>
      <c r="B177" s="40"/>
      <c r="C177" s="50"/>
      <c r="D177" s="20" t="s">
        <v>553</v>
      </c>
      <c r="E177" s="20" t="s">
        <v>554</v>
      </c>
      <c r="F177" s="31">
        <v>72.0</v>
      </c>
      <c r="G177" s="20" t="s">
        <v>555</v>
      </c>
      <c r="H177" s="31">
        <v>2017.0</v>
      </c>
      <c r="I177" s="2"/>
      <c r="J177" s="2"/>
      <c r="K177" s="17" t="s">
        <v>46</v>
      </c>
      <c r="L177" s="17" t="s">
        <v>47</v>
      </c>
      <c r="M177" s="17" t="s">
        <v>556</v>
      </c>
      <c r="N177" s="17" t="s">
        <v>557</v>
      </c>
      <c r="O177" s="17">
        <v>36.0</v>
      </c>
      <c r="P177" s="17" t="s">
        <v>558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26" t="s">
        <v>46</v>
      </c>
      <c r="B178" s="26" t="s">
        <v>47</v>
      </c>
      <c r="C178" s="51"/>
      <c r="D178" s="26" t="s">
        <v>556</v>
      </c>
      <c r="E178" s="26" t="s">
        <v>557</v>
      </c>
      <c r="F178" s="37">
        <v>36.0</v>
      </c>
      <c r="G178" s="26" t="s">
        <v>558</v>
      </c>
      <c r="H178" s="52">
        <v>2017.0</v>
      </c>
      <c r="I178" s="2"/>
      <c r="J178" s="2"/>
      <c r="K178" s="17" t="s">
        <v>51</v>
      </c>
      <c r="L178" s="17" t="s">
        <v>52</v>
      </c>
      <c r="M178" s="17" t="s">
        <v>559</v>
      </c>
      <c r="N178" s="17" t="s">
        <v>560</v>
      </c>
      <c r="O178" s="17">
        <v>30.0</v>
      </c>
      <c r="P178" s="17" t="s">
        <v>561</v>
      </c>
      <c r="Q178" s="17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26" t="s">
        <v>51</v>
      </c>
      <c r="B179" s="26" t="s">
        <v>52</v>
      </c>
      <c r="C179" s="51"/>
      <c r="D179" s="26" t="s">
        <v>559</v>
      </c>
      <c r="E179" s="26" t="s">
        <v>560</v>
      </c>
      <c r="F179" s="37">
        <v>30.0</v>
      </c>
      <c r="G179" s="26" t="s">
        <v>561</v>
      </c>
      <c r="H179" s="52">
        <v>2017.0</v>
      </c>
      <c r="I179" s="2"/>
      <c r="J179" s="2"/>
      <c r="K179" s="17" t="s">
        <v>562</v>
      </c>
      <c r="L179" s="17" t="s">
        <v>563</v>
      </c>
      <c r="M179" s="17" t="s">
        <v>564</v>
      </c>
      <c r="N179" s="17" t="s">
        <v>565</v>
      </c>
      <c r="O179" s="17">
        <v>6.0</v>
      </c>
      <c r="P179" s="17" t="s">
        <v>566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26" t="s">
        <v>562</v>
      </c>
      <c r="B180" s="26" t="s">
        <v>563</v>
      </c>
      <c r="C180" s="51"/>
      <c r="D180" s="26" t="s">
        <v>564</v>
      </c>
      <c r="E180" s="26" t="s">
        <v>565</v>
      </c>
      <c r="F180" s="37">
        <v>6.0</v>
      </c>
      <c r="G180" s="26" t="s">
        <v>566</v>
      </c>
      <c r="H180" s="52">
        <v>2017.0</v>
      </c>
      <c r="I180" s="2"/>
      <c r="J180" s="2"/>
      <c r="K180" s="17" t="s">
        <v>567</v>
      </c>
      <c r="L180" s="17" t="s">
        <v>380</v>
      </c>
      <c r="M180" s="17" t="s">
        <v>568</v>
      </c>
      <c r="N180" s="17" t="s">
        <v>569</v>
      </c>
      <c r="O180" s="17">
        <v>0.0</v>
      </c>
      <c r="P180" s="17" t="s">
        <v>193</v>
      </c>
      <c r="Q180" s="17"/>
      <c r="R180" s="17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26" t="s">
        <v>567</v>
      </c>
      <c r="B181" s="26" t="s">
        <v>380</v>
      </c>
      <c r="C181" s="51"/>
      <c r="D181" s="26" t="s">
        <v>568</v>
      </c>
      <c r="E181" s="26" t="s">
        <v>569</v>
      </c>
      <c r="F181" s="37">
        <v>0.0</v>
      </c>
      <c r="G181" s="26" t="s">
        <v>193</v>
      </c>
      <c r="H181" s="52">
        <v>2017.0</v>
      </c>
      <c r="I181" s="2"/>
      <c r="J181" s="2"/>
      <c r="K181" s="17" t="s">
        <v>117</v>
      </c>
      <c r="L181" s="17" t="s">
        <v>457</v>
      </c>
      <c r="M181" s="17" t="s">
        <v>570</v>
      </c>
      <c r="N181" s="17" t="s">
        <v>352</v>
      </c>
      <c r="O181" s="17">
        <v>1.0</v>
      </c>
      <c r="P181" s="17" t="s">
        <v>465</v>
      </c>
      <c r="Q181" s="17"/>
      <c r="R181" s="17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20" t="s">
        <v>117</v>
      </c>
      <c r="B182" s="20" t="s">
        <v>457</v>
      </c>
      <c r="C182" s="50"/>
      <c r="D182" s="20" t="s">
        <v>570</v>
      </c>
      <c r="E182" s="20" t="s">
        <v>352</v>
      </c>
      <c r="F182" s="31">
        <v>1.0</v>
      </c>
      <c r="G182" s="20" t="s">
        <v>465</v>
      </c>
      <c r="H182" s="31">
        <v>2017.0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20" t="s">
        <v>571</v>
      </c>
      <c r="B183" s="40"/>
      <c r="C183" s="50"/>
      <c r="D183" s="20" t="s">
        <v>572</v>
      </c>
      <c r="E183" s="20" t="s">
        <v>573</v>
      </c>
      <c r="F183" s="31">
        <v>53.0</v>
      </c>
      <c r="G183" s="20"/>
      <c r="H183" s="31">
        <v>2021.0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26" t="s">
        <v>46</v>
      </c>
      <c r="B184" s="26" t="s">
        <v>47</v>
      </c>
      <c r="C184" s="51"/>
      <c r="D184" s="26" t="s">
        <v>574</v>
      </c>
      <c r="E184" s="26" t="s">
        <v>575</v>
      </c>
      <c r="F184" s="37">
        <v>25.0</v>
      </c>
      <c r="G184" s="53"/>
      <c r="H184" s="52">
        <v>2021.0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26" t="s">
        <v>51</v>
      </c>
      <c r="B185" s="26" t="s">
        <v>52</v>
      </c>
      <c r="C185" s="51"/>
      <c r="D185" s="26" t="s">
        <v>576</v>
      </c>
      <c r="E185" s="26" t="s">
        <v>577</v>
      </c>
      <c r="F185" s="37">
        <v>23.0</v>
      </c>
      <c r="G185" s="53"/>
      <c r="H185" s="52">
        <v>2021.0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26" t="s">
        <v>562</v>
      </c>
      <c r="B186" s="26" t="s">
        <v>578</v>
      </c>
      <c r="C186" s="51"/>
      <c r="D186" s="26" t="s">
        <v>579</v>
      </c>
      <c r="E186" s="26" t="s">
        <v>580</v>
      </c>
      <c r="F186" s="37">
        <v>4.0</v>
      </c>
      <c r="G186" s="53"/>
      <c r="H186" s="52">
        <v>2021.0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26" t="s">
        <v>581</v>
      </c>
      <c r="B187" s="26" t="s">
        <v>380</v>
      </c>
      <c r="C187" s="51"/>
      <c r="D187" s="26" t="s">
        <v>582</v>
      </c>
      <c r="E187" s="26" t="s">
        <v>583</v>
      </c>
      <c r="F187" s="37">
        <v>1.0</v>
      </c>
      <c r="G187" s="53"/>
      <c r="H187" s="52">
        <v>2021.0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26" t="s">
        <v>584</v>
      </c>
      <c r="B188" s="26" t="s">
        <v>585</v>
      </c>
      <c r="C188" s="51"/>
      <c r="D188" s="26" t="s">
        <v>586</v>
      </c>
      <c r="E188" s="26" t="s">
        <v>587</v>
      </c>
      <c r="F188" s="37">
        <v>6.0</v>
      </c>
      <c r="G188" s="53"/>
      <c r="H188" s="52">
        <v>2021.0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26" t="s">
        <v>588</v>
      </c>
      <c r="B189" s="26" t="s">
        <v>472</v>
      </c>
      <c r="C189" s="51"/>
      <c r="D189" s="26" t="s">
        <v>589</v>
      </c>
      <c r="E189" s="26" t="s">
        <v>192</v>
      </c>
      <c r="F189" s="37">
        <v>0.0</v>
      </c>
      <c r="G189" s="53"/>
      <c r="H189" s="52">
        <v>2021.0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20" t="s">
        <v>590</v>
      </c>
      <c r="B190" s="40"/>
      <c r="C190" s="50"/>
      <c r="D190" s="20" t="s">
        <v>591</v>
      </c>
      <c r="E190" s="20" t="s">
        <v>592</v>
      </c>
      <c r="F190" s="31">
        <v>37.0</v>
      </c>
      <c r="G190" s="20"/>
      <c r="H190" s="31">
        <v>2021.0</v>
      </c>
      <c r="I190" s="2"/>
      <c r="J190" s="2"/>
      <c r="K190" s="54"/>
      <c r="L190" s="54"/>
      <c r="M190" s="54"/>
      <c r="N190" s="54"/>
      <c r="O190" s="54"/>
      <c r="P190" s="54"/>
      <c r="Q190" s="54"/>
      <c r="R190" s="2"/>
      <c r="S190" s="2"/>
      <c r="T190" s="2"/>
      <c r="U190" s="2"/>
      <c r="V190" s="2"/>
      <c r="W190" s="2"/>
      <c r="X190" s="2"/>
      <c r="Y190" s="2"/>
    </row>
    <row r="191" ht="22.5" customHeight="1">
      <c r="A191" s="26" t="s">
        <v>275</v>
      </c>
      <c r="B191" s="26" t="s">
        <v>178</v>
      </c>
      <c r="C191" s="51"/>
      <c r="D191" s="26" t="s">
        <v>593</v>
      </c>
      <c r="E191" s="26" t="s">
        <v>433</v>
      </c>
      <c r="F191" s="37">
        <v>13.0</v>
      </c>
      <c r="G191" s="53"/>
      <c r="H191" s="52">
        <v>2021.0</v>
      </c>
      <c r="I191" s="2"/>
      <c r="J191" s="2"/>
      <c r="K191" s="55" t="s">
        <v>0</v>
      </c>
      <c r="L191" s="55" t="s">
        <v>1</v>
      </c>
      <c r="M191" s="55" t="s">
        <v>3</v>
      </c>
      <c r="N191" s="55" t="s">
        <v>460</v>
      </c>
      <c r="O191" s="55" t="s">
        <v>461</v>
      </c>
      <c r="P191" s="55" t="s">
        <v>594</v>
      </c>
      <c r="Q191" s="54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26" t="s">
        <v>12</v>
      </c>
      <c r="B192" s="26" t="s">
        <v>13</v>
      </c>
      <c r="C192" s="51"/>
      <c r="D192" s="26" t="s">
        <v>595</v>
      </c>
      <c r="E192" s="26" t="s">
        <v>596</v>
      </c>
      <c r="F192" s="37">
        <v>8.0</v>
      </c>
      <c r="G192" s="53"/>
      <c r="H192" s="52">
        <v>2021.0</v>
      </c>
      <c r="I192" s="2"/>
      <c r="J192" s="2"/>
      <c r="K192" s="17" t="s">
        <v>571</v>
      </c>
      <c r="L192" s="2"/>
      <c r="M192" s="17" t="s">
        <v>572</v>
      </c>
      <c r="N192" s="17" t="s">
        <v>573</v>
      </c>
      <c r="O192" s="17">
        <v>53.0</v>
      </c>
      <c r="P192" s="17" t="s">
        <v>597</v>
      </c>
      <c r="Q192" s="2"/>
      <c r="R192" s="2"/>
      <c r="S192" s="2"/>
      <c r="T192" s="2"/>
      <c r="U192" s="2"/>
      <c r="V192" s="2"/>
      <c r="W192" s="2"/>
      <c r="X192" s="2"/>
      <c r="Y192" s="2"/>
    </row>
    <row r="193" ht="22.5" customHeight="1">
      <c r="A193" s="26" t="s">
        <v>17</v>
      </c>
      <c r="B193" s="26" t="s">
        <v>18</v>
      </c>
      <c r="C193" s="51"/>
      <c r="D193" s="26" t="s">
        <v>598</v>
      </c>
      <c r="E193" s="26" t="s">
        <v>25</v>
      </c>
      <c r="F193" s="37">
        <v>7.0</v>
      </c>
      <c r="G193" s="53"/>
      <c r="H193" s="52">
        <v>2021.0</v>
      </c>
      <c r="I193" s="2"/>
      <c r="J193" s="2"/>
      <c r="K193" s="17" t="s">
        <v>46</v>
      </c>
      <c r="L193" s="17" t="s">
        <v>47</v>
      </c>
      <c r="M193" s="17" t="s">
        <v>574</v>
      </c>
      <c r="N193" s="17" t="s">
        <v>575</v>
      </c>
      <c r="O193" s="17">
        <v>25.0</v>
      </c>
      <c r="P193" s="17" t="s">
        <v>599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26" t="s">
        <v>22</v>
      </c>
      <c r="B194" s="26" t="s">
        <v>23</v>
      </c>
      <c r="C194" s="51"/>
      <c r="D194" s="26" t="s">
        <v>600</v>
      </c>
      <c r="E194" s="26" t="s">
        <v>601</v>
      </c>
      <c r="F194" s="37">
        <v>4.0</v>
      </c>
      <c r="G194" s="53"/>
      <c r="H194" s="52">
        <v>2021.0</v>
      </c>
      <c r="I194" s="2"/>
      <c r="J194" s="2"/>
      <c r="K194" s="17" t="s">
        <v>51</v>
      </c>
      <c r="L194" s="17" t="s">
        <v>52</v>
      </c>
      <c r="M194" s="17" t="s">
        <v>576</v>
      </c>
      <c r="N194" s="17" t="s">
        <v>577</v>
      </c>
      <c r="O194" s="17">
        <v>23.0</v>
      </c>
      <c r="P194" s="17" t="s">
        <v>602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26" t="s">
        <v>83</v>
      </c>
      <c r="B195" s="26" t="s">
        <v>84</v>
      </c>
      <c r="C195" s="51"/>
      <c r="D195" s="26" t="s">
        <v>603</v>
      </c>
      <c r="E195" s="26" t="s">
        <v>604</v>
      </c>
      <c r="F195" s="37">
        <v>4.0</v>
      </c>
      <c r="G195" s="53"/>
      <c r="H195" s="52">
        <v>2021.0</v>
      </c>
      <c r="I195" s="2"/>
      <c r="J195" s="2"/>
      <c r="K195" s="17" t="s">
        <v>562</v>
      </c>
      <c r="L195" s="17" t="s">
        <v>578</v>
      </c>
      <c r="M195" s="17" t="s">
        <v>579</v>
      </c>
      <c r="N195" s="17" t="s">
        <v>580</v>
      </c>
      <c r="O195" s="17">
        <v>4.0</v>
      </c>
      <c r="P195" s="17" t="s">
        <v>605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26" t="s">
        <v>505</v>
      </c>
      <c r="B196" s="26" t="s">
        <v>506</v>
      </c>
      <c r="C196" s="51"/>
      <c r="D196" s="26" t="s">
        <v>606</v>
      </c>
      <c r="E196" s="26" t="s">
        <v>607</v>
      </c>
      <c r="F196" s="37">
        <v>1.0</v>
      </c>
      <c r="G196" s="53"/>
      <c r="H196" s="52">
        <v>2021.0</v>
      </c>
      <c r="I196" s="2"/>
      <c r="J196" s="2"/>
      <c r="K196" s="17" t="s">
        <v>581</v>
      </c>
      <c r="L196" s="17" t="s">
        <v>380</v>
      </c>
      <c r="M196" s="17" t="s">
        <v>582</v>
      </c>
      <c r="N196" s="17" t="s">
        <v>583</v>
      </c>
      <c r="O196" s="17">
        <v>1.0</v>
      </c>
      <c r="P196" s="2">
        <f>+1</f>
        <v>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26" t="s">
        <v>608</v>
      </c>
      <c r="B197" s="26" t="s">
        <v>491</v>
      </c>
      <c r="C197" s="51"/>
      <c r="D197" s="26" t="s">
        <v>609</v>
      </c>
      <c r="E197" s="26" t="s">
        <v>610</v>
      </c>
      <c r="F197" s="37">
        <v>2.0</v>
      </c>
      <c r="G197" s="53"/>
      <c r="H197" s="52">
        <v>2021.0</v>
      </c>
      <c r="I197" s="2"/>
      <c r="J197" s="2"/>
      <c r="K197" s="17" t="s">
        <v>584</v>
      </c>
      <c r="L197" s="17" t="s">
        <v>585</v>
      </c>
      <c r="M197" s="17" t="s">
        <v>586</v>
      </c>
      <c r="N197" s="17" t="s">
        <v>587</v>
      </c>
      <c r="O197" s="17">
        <v>6.0</v>
      </c>
      <c r="P197" s="2">
        <f>+6</f>
        <v>6</v>
      </c>
      <c r="Q197" s="2"/>
      <c r="R197" s="2"/>
      <c r="S197" s="2"/>
      <c r="T197" s="2"/>
      <c r="U197" s="2"/>
      <c r="V197" s="2"/>
      <c r="W197" s="2"/>
      <c r="X197" s="2"/>
      <c r="Y197" s="2"/>
    </row>
    <row r="198" ht="22.5" customHeight="1">
      <c r="A198" s="26" t="s">
        <v>611</v>
      </c>
      <c r="B198" s="26" t="s">
        <v>524</v>
      </c>
      <c r="C198" s="51"/>
      <c r="D198" s="26" t="s">
        <v>612</v>
      </c>
      <c r="E198" s="26" t="s">
        <v>613</v>
      </c>
      <c r="F198" s="37">
        <v>0.0</v>
      </c>
      <c r="G198" s="53"/>
      <c r="H198" s="52">
        <v>2021.0</v>
      </c>
      <c r="I198" s="2"/>
      <c r="J198" s="2"/>
      <c r="K198" s="17" t="s">
        <v>588</v>
      </c>
      <c r="L198" s="17" t="s">
        <v>472</v>
      </c>
      <c r="M198" s="17" t="s">
        <v>589</v>
      </c>
      <c r="N198" s="17" t="s">
        <v>192</v>
      </c>
      <c r="O198" s="17">
        <v>0.0</v>
      </c>
      <c r="P198" s="17" t="s">
        <v>614</v>
      </c>
      <c r="Q198" s="2"/>
      <c r="R198" s="2"/>
      <c r="S198" s="2"/>
      <c r="T198" s="2"/>
      <c r="U198" s="2"/>
      <c r="V198" s="2"/>
      <c r="W198" s="2"/>
      <c r="X198" s="2"/>
      <c r="Y198" s="2"/>
    </row>
    <row r="199" ht="22.5" customHeight="1">
      <c r="A199" s="20" t="s">
        <v>615</v>
      </c>
      <c r="B199" s="40"/>
      <c r="C199" s="50"/>
      <c r="D199" s="20" t="s">
        <v>616</v>
      </c>
      <c r="E199" s="20" t="s">
        <v>617</v>
      </c>
      <c r="F199" s="31">
        <v>3.0</v>
      </c>
      <c r="G199" s="20"/>
      <c r="H199" s="31">
        <v>2021.0</v>
      </c>
      <c r="I199" s="2"/>
      <c r="J199" s="2"/>
      <c r="K199" s="17" t="s">
        <v>590</v>
      </c>
      <c r="L199" s="2"/>
      <c r="M199" s="17" t="s">
        <v>591</v>
      </c>
      <c r="N199" s="17" t="s">
        <v>592</v>
      </c>
      <c r="O199" s="17">
        <v>37.0</v>
      </c>
      <c r="P199" s="17" t="s">
        <v>602</v>
      </c>
      <c r="Q199" s="2"/>
      <c r="R199" s="2"/>
      <c r="S199" s="2"/>
      <c r="T199" s="2"/>
      <c r="U199" s="2"/>
      <c r="V199" s="2"/>
      <c r="W199" s="2"/>
      <c r="X199" s="2"/>
      <c r="Y199" s="2"/>
    </row>
    <row r="200" ht="22.5" customHeight="1">
      <c r="A200" s="26" t="s">
        <v>27</v>
      </c>
      <c r="B200" s="26" t="s">
        <v>28</v>
      </c>
      <c r="C200" s="51"/>
      <c r="D200" s="26" t="s">
        <v>618</v>
      </c>
      <c r="E200" s="26" t="s">
        <v>619</v>
      </c>
      <c r="F200" s="37">
        <v>3.0</v>
      </c>
      <c r="G200" s="53"/>
      <c r="H200" s="52">
        <v>2021.0</v>
      </c>
      <c r="I200" s="2"/>
      <c r="J200" s="2"/>
      <c r="K200" s="17" t="s">
        <v>275</v>
      </c>
      <c r="L200" s="17" t="s">
        <v>178</v>
      </c>
      <c r="M200" s="17" t="s">
        <v>593</v>
      </c>
      <c r="N200" s="17" t="s">
        <v>433</v>
      </c>
      <c r="O200" s="17">
        <v>13.0</v>
      </c>
      <c r="P200" s="17" t="s">
        <v>620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26" t="s">
        <v>424</v>
      </c>
      <c r="B201" s="26" t="s">
        <v>425</v>
      </c>
      <c r="C201" s="51"/>
      <c r="D201" s="26" t="s">
        <v>621</v>
      </c>
      <c r="E201" s="26" t="s">
        <v>622</v>
      </c>
      <c r="F201" s="37">
        <v>0.0</v>
      </c>
      <c r="G201" s="53"/>
      <c r="H201" s="52">
        <v>2021.0</v>
      </c>
      <c r="I201" s="2"/>
      <c r="J201" s="2"/>
      <c r="K201" s="17" t="s">
        <v>12</v>
      </c>
      <c r="L201" s="17" t="s">
        <v>13</v>
      </c>
      <c r="M201" s="17" t="s">
        <v>595</v>
      </c>
      <c r="N201" s="17" t="s">
        <v>596</v>
      </c>
      <c r="O201" s="17">
        <v>8.0</v>
      </c>
      <c r="P201" s="17" t="s">
        <v>623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20" t="s">
        <v>624</v>
      </c>
      <c r="B202" s="40"/>
      <c r="C202" s="50"/>
      <c r="D202" s="20" t="s">
        <v>625</v>
      </c>
      <c r="E202" s="20" t="s">
        <v>626</v>
      </c>
      <c r="F202" s="31">
        <v>15.0</v>
      </c>
      <c r="G202" s="20"/>
      <c r="H202" s="31">
        <v>2021.0</v>
      </c>
      <c r="I202" s="2"/>
      <c r="J202" s="2"/>
      <c r="K202" s="17" t="s">
        <v>17</v>
      </c>
      <c r="L202" s="17" t="s">
        <v>18</v>
      </c>
      <c r="M202" s="17" t="s">
        <v>598</v>
      </c>
      <c r="N202" s="17" t="s">
        <v>25</v>
      </c>
      <c r="O202" s="17">
        <v>7.0</v>
      </c>
      <c r="P202" s="17" t="s">
        <v>627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26" t="s">
        <v>628</v>
      </c>
      <c r="B203" s="26" t="s">
        <v>629</v>
      </c>
      <c r="C203" s="51"/>
      <c r="D203" s="26" t="s">
        <v>630</v>
      </c>
      <c r="E203" s="26" t="s">
        <v>631</v>
      </c>
      <c r="F203" s="37">
        <v>14.0</v>
      </c>
      <c r="G203" s="53"/>
      <c r="H203" s="52">
        <v>2021.0</v>
      </c>
      <c r="I203" s="2"/>
      <c r="J203" s="2"/>
      <c r="K203" s="17" t="s">
        <v>22</v>
      </c>
      <c r="L203" s="17" t="s">
        <v>23</v>
      </c>
      <c r="M203" s="17" t="s">
        <v>600</v>
      </c>
      <c r="N203" s="17" t="s">
        <v>601</v>
      </c>
      <c r="O203" s="17">
        <v>4.0</v>
      </c>
      <c r="P203" s="17" t="s">
        <v>632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26" t="s">
        <v>633</v>
      </c>
      <c r="B204" s="26" t="s">
        <v>634</v>
      </c>
      <c r="C204" s="51"/>
      <c r="D204" s="26" t="s">
        <v>635</v>
      </c>
      <c r="E204" s="26" t="s">
        <v>636</v>
      </c>
      <c r="F204" s="37">
        <v>1.0</v>
      </c>
      <c r="G204" s="53"/>
      <c r="H204" s="52">
        <v>2021.0</v>
      </c>
      <c r="I204" s="2"/>
      <c r="J204" s="2"/>
      <c r="K204" s="17" t="s">
        <v>83</v>
      </c>
      <c r="L204" s="17" t="s">
        <v>84</v>
      </c>
      <c r="M204" s="17" t="s">
        <v>603</v>
      </c>
      <c r="N204" s="17" t="s">
        <v>604</v>
      </c>
      <c r="O204" s="17">
        <v>4.0</v>
      </c>
      <c r="P204" s="2">
        <f>+2</f>
        <v>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20" t="s">
        <v>637</v>
      </c>
      <c r="B205" s="40"/>
      <c r="C205" s="50"/>
      <c r="D205" s="20" t="s">
        <v>638</v>
      </c>
      <c r="E205" s="20" t="s">
        <v>639</v>
      </c>
      <c r="F205" s="31">
        <v>37.0</v>
      </c>
      <c r="G205" s="20"/>
      <c r="H205" s="31">
        <v>2021.0</v>
      </c>
      <c r="I205" s="2"/>
      <c r="J205" s="2"/>
      <c r="K205" s="17" t="s">
        <v>505</v>
      </c>
      <c r="L205" s="17" t="s">
        <v>506</v>
      </c>
      <c r="M205" s="17" t="s">
        <v>606</v>
      </c>
      <c r="N205" s="17" t="s">
        <v>607</v>
      </c>
      <c r="O205" s="17">
        <v>1.0</v>
      </c>
      <c r="P205" s="2">
        <f t="shared" ref="P205:P206" si="1">+1</f>
        <v>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26" t="s">
        <v>132</v>
      </c>
      <c r="B206" s="26" t="s">
        <v>133</v>
      </c>
      <c r="C206" s="51"/>
      <c r="D206" s="26" t="s">
        <v>640</v>
      </c>
      <c r="E206" s="26" t="s">
        <v>641</v>
      </c>
      <c r="F206" s="37">
        <v>12.0</v>
      </c>
      <c r="G206" s="53"/>
      <c r="H206" s="52">
        <v>2021.0</v>
      </c>
      <c r="I206" s="2"/>
      <c r="J206" s="2"/>
      <c r="K206" s="17" t="s">
        <v>608</v>
      </c>
      <c r="L206" s="17" t="s">
        <v>491</v>
      </c>
      <c r="M206" s="17" t="s">
        <v>609</v>
      </c>
      <c r="N206" s="17" t="s">
        <v>610</v>
      </c>
      <c r="O206" s="17">
        <v>2.0</v>
      </c>
      <c r="P206" s="2">
        <f t="shared" si="1"/>
        <v>1</v>
      </c>
      <c r="Q206" s="2"/>
      <c r="R206" s="2"/>
      <c r="S206" s="2"/>
      <c r="T206" s="2"/>
      <c r="U206" s="2"/>
      <c r="V206" s="2"/>
      <c r="W206" s="2"/>
      <c r="X206" s="2"/>
      <c r="Y206" s="2"/>
    </row>
    <row r="207" ht="22.5" customHeight="1">
      <c r="A207" s="26" t="s">
        <v>642</v>
      </c>
      <c r="B207" s="26" t="s">
        <v>643</v>
      </c>
      <c r="C207" s="51"/>
      <c r="D207" s="26" t="s">
        <v>644</v>
      </c>
      <c r="E207" s="26" t="s">
        <v>645</v>
      </c>
      <c r="F207" s="37">
        <v>9.0</v>
      </c>
      <c r="G207" s="53"/>
      <c r="H207" s="52">
        <v>2021.0</v>
      </c>
      <c r="I207" s="2"/>
      <c r="J207" s="2"/>
      <c r="K207" s="17" t="s">
        <v>611</v>
      </c>
      <c r="L207" s="17" t="s">
        <v>524</v>
      </c>
      <c r="M207" s="17" t="s">
        <v>612</v>
      </c>
      <c r="N207" s="17" t="s">
        <v>613</v>
      </c>
      <c r="O207" s="17">
        <v>0.0</v>
      </c>
      <c r="P207" s="17" t="s">
        <v>614</v>
      </c>
      <c r="Q207" s="2"/>
      <c r="R207" s="2"/>
      <c r="S207" s="2"/>
      <c r="T207" s="2"/>
      <c r="U207" s="2"/>
      <c r="V207" s="2"/>
      <c r="W207" s="2"/>
      <c r="X207" s="2"/>
      <c r="Y207" s="2"/>
    </row>
    <row r="208" ht="22.5" customHeight="1">
      <c r="A208" s="26" t="s">
        <v>478</v>
      </c>
      <c r="B208" s="26" t="s">
        <v>479</v>
      </c>
      <c r="C208" s="51"/>
      <c r="D208" s="26" t="s">
        <v>646</v>
      </c>
      <c r="E208" s="26" t="s">
        <v>647</v>
      </c>
      <c r="F208" s="37">
        <v>8.0</v>
      </c>
      <c r="G208" s="53"/>
      <c r="H208" s="52">
        <v>2021.0</v>
      </c>
      <c r="I208" s="2"/>
      <c r="J208" s="2"/>
      <c r="K208" s="17" t="s">
        <v>615</v>
      </c>
      <c r="L208" s="2"/>
      <c r="M208" s="17" t="s">
        <v>616</v>
      </c>
      <c r="N208" s="17" t="s">
        <v>617</v>
      </c>
      <c r="O208" s="17">
        <v>3.0</v>
      </c>
      <c r="P208" s="17" t="s">
        <v>648</v>
      </c>
      <c r="Q208" s="2"/>
      <c r="R208" s="2"/>
      <c r="S208" s="2"/>
      <c r="T208" s="2"/>
      <c r="U208" s="2"/>
      <c r="V208" s="2"/>
      <c r="W208" s="2"/>
      <c r="X208" s="2"/>
      <c r="Y208" s="2"/>
    </row>
    <row r="209" ht="22.5" customHeight="1">
      <c r="A209" s="26" t="s">
        <v>649</v>
      </c>
      <c r="B209" s="26" t="s">
        <v>650</v>
      </c>
      <c r="C209" s="51"/>
      <c r="D209" s="26" t="s">
        <v>651</v>
      </c>
      <c r="E209" s="26" t="s">
        <v>652</v>
      </c>
      <c r="F209" s="37">
        <v>6.0</v>
      </c>
      <c r="G209" s="53"/>
      <c r="H209" s="52">
        <v>2021.0</v>
      </c>
      <c r="I209" s="2"/>
      <c r="J209" s="2"/>
      <c r="K209" s="17" t="s">
        <v>27</v>
      </c>
      <c r="L209" s="17" t="s">
        <v>28</v>
      </c>
      <c r="M209" s="17" t="s">
        <v>618</v>
      </c>
      <c r="N209" s="17" t="s">
        <v>619</v>
      </c>
      <c r="O209" s="17">
        <v>3.0</v>
      </c>
      <c r="P209" s="17" t="s">
        <v>605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26" t="s">
        <v>516</v>
      </c>
      <c r="B210" s="26" t="s">
        <v>653</v>
      </c>
      <c r="C210" s="51"/>
      <c r="D210" s="26" t="s">
        <v>654</v>
      </c>
      <c r="E210" s="26" t="s">
        <v>655</v>
      </c>
      <c r="F210" s="37">
        <v>2.0</v>
      </c>
      <c r="G210" s="53"/>
      <c r="H210" s="52">
        <v>2021.0</v>
      </c>
      <c r="I210" s="2"/>
      <c r="J210" s="2"/>
      <c r="K210" s="17" t="s">
        <v>424</v>
      </c>
      <c r="L210" s="17" t="s">
        <v>425</v>
      </c>
      <c r="M210" s="17" t="s">
        <v>621</v>
      </c>
      <c r="N210" s="17" t="s">
        <v>622</v>
      </c>
      <c r="O210" s="17">
        <v>0.0</v>
      </c>
      <c r="P210" s="17" t="s">
        <v>627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20" t="s">
        <v>656</v>
      </c>
      <c r="B211" s="20" t="s">
        <v>657</v>
      </c>
      <c r="C211" s="50"/>
      <c r="D211" s="20">
        <v>4420.0</v>
      </c>
      <c r="E211" s="20" t="s">
        <v>658</v>
      </c>
      <c r="F211" s="31">
        <v>0.0</v>
      </c>
      <c r="G211" s="20"/>
      <c r="H211" s="31">
        <v>2021.0</v>
      </c>
      <c r="I211" s="2"/>
      <c r="J211" s="2"/>
      <c r="K211" s="17" t="s">
        <v>624</v>
      </c>
      <c r="L211" s="2"/>
      <c r="M211" s="17" t="s">
        <v>625</v>
      </c>
      <c r="N211" s="17" t="s">
        <v>626</v>
      </c>
      <c r="O211" s="17">
        <v>15.0</v>
      </c>
      <c r="P211" s="2">
        <f>+15</f>
        <v>15</v>
      </c>
      <c r="Q211" s="2"/>
      <c r="R211" s="2"/>
      <c r="S211" s="2"/>
      <c r="T211" s="2"/>
      <c r="U211" s="2"/>
      <c r="V211" s="2"/>
      <c r="W211" s="2"/>
      <c r="X211" s="2"/>
      <c r="Y211" s="2"/>
    </row>
    <row r="212" ht="22.5" customHeight="1">
      <c r="A212" s="20" t="s">
        <v>659</v>
      </c>
      <c r="B212" s="40"/>
      <c r="C212" s="50"/>
      <c r="D212" s="20" t="s">
        <v>660</v>
      </c>
      <c r="E212" s="20" t="s">
        <v>661</v>
      </c>
      <c r="F212" s="31">
        <v>1.0</v>
      </c>
      <c r="G212" s="20"/>
      <c r="H212" s="31">
        <v>2021.0</v>
      </c>
      <c r="I212" s="2"/>
      <c r="J212" s="2"/>
      <c r="K212" s="17" t="s">
        <v>628</v>
      </c>
      <c r="L212" s="17" t="s">
        <v>629</v>
      </c>
      <c r="M212" s="17" t="s">
        <v>630</v>
      </c>
      <c r="N212" s="17" t="s">
        <v>631</v>
      </c>
      <c r="O212" s="17">
        <v>14.0</v>
      </c>
      <c r="P212" s="2">
        <f>+14</f>
        <v>14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26" t="s">
        <v>662</v>
      </c>
      <c r="B213" s="26" t="s">
        <v>663</v>
      </c>
      <c r="C213" s="51"/>
      <c r="D213" s="26" t="s">
        <v>664</v>
      </c>
      <c r="E213" s="26" t="s">
        <v>665</v>
      </c>
      <c r="F213" s="37">
        <v>1.0</v>
      </c>
      <c r="G213" s="53"/>
      <c r="H213" s="52">
        <v>2021.0</v>
      </c>
      <c r="I213" s="2"/>
      <c r="J213" s="2"/>
      <c r="K213" s="17" t="s">
        <v>633</v>
      </c>
      <c r="L213" s="17" t="s">
        <v>634</v>
      </c>
      <c r="M213" s="17" t="s">
        <v>635</v>
      </c>
      <c r="N213" s="17" t="s">
        <v>636</v>
      </c>
      <c r="O213" s="17">
        <v>1.0</v>
      </c>
      <c r="P213" s="2">
        <f>+1</f>
        <v>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26" t="s">
        <v>666</v>
      </c>
      <c r="B214" s="26" t="s">
        <v>667</v>
      </c>
      <c r="C214" s="51"/>
      <c r="D214" s="26" t="s">
        <v>668</v>
      </c>
      <c r="E214" s="26" t="s">
        <v>551</v>
      </c>
      <c r="F214" s="37">
        <v>0.0</v>
      </c>
      <c r="G214" s="53"/>
      <c r="H214" s="52">
        <v>2021.0</v>
      </c>
      <c r="I214" s="2"/>
      <c r="J214" s="2"/>
      <c r="K214" s="17" t="s">
        <v>637</v>
      </c>
      <c r="L214" s="2"/>
      <c r="M214" s="17" t="s">
        <v>638</v>
      </c>
      <c r="N214" s="17" t="s">
        <v>639</v>
      </c>
      <c r="O214" s="17">
        <v>37.0</v>
      </c>
      <c r="P214" s="2">
        <f>+10</f>
        <v>10</v>
      </c>
      <c r="Q214" s="2"/>
      <c r="R214" s="2"/>
      <c r="S214" s="2"/>
      <c r="T214" s="2"/>
      <c r="U214" s="2"/>
      <c r="V214" s="2"/>
      <c r="W214" s="2"/>
      <c r="X214" s="2"/>
      <c r="Y214" s="2"/>
    </row>
    <row r="215" ht="22.5" customHeight="1">
      <c r="A215" s="20" t="s">
        <v>669</v>
      </c>
      <c r="B215" s="20" t="s">
        <v>437</v>
      </c>
      <c r="C215" s="50"/>
      <c r="D215" s="20" t="s">
        <v>670</v>
      </c>
      <c r="E215" s="20" t="s">
        <v>671</v>
      </c>
      <c r="F215" s="31">
        <v>0.0</v>
      </c>
      <c r="G215" s="20"/>
      <c r="H215" s="31">
        <v>2021.0</v>
      </c>
      <c r="I215" s="2"/>
      <c r="J215" s="2"/>
      <c r="K215" s="17" t="s">
        <v>132</v>
      </c>
      <c r="L215" s="17" t="s">
        <v>133</v>
      </c>
      <c r="M215" s="17" t="s">
        <v>640</v>
      </c>
      <c r="N215" s="17" t="s">
        <v>641</v>
      </c>
      <c r="O215" s="17">
        <v>12.0</v>
      </c>
      <c r="P215" s="2">
        <f>+4</f>
        <v>4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20" t="s">
        <v>117</v>
      </c>
      <c r="B216" s="20" t="s">
        <v>457</v>
      </c>
      <c r="C216" s="50"/>
      <c r="D216" s="20" t="s">
        <v>672</v>
      </c>
      <c r="E216" s="20" t="s">
        <v>371</v>
      </c>
      <c r="F216" s="31">
        <v>1.0</v>
      </c>
      <c r="G216" s="20"/>
      <c r="H216" s="31">
        <v>2021.0</v>
      </c>
      <c r="I216" s="2"/>
      <c r="J216" s="2"/>
      <c r="K216" s="17" t="s">
        <v>642</v>
      </c>
      <c r="L216" s="17" t="s">
        <v>643</v>
      </c>
      <c r="M216" s="17" t="s">
        <v>644</v>
      </c>
      <c r="N216" s="17" t="s">
        <v>645</v>
      </c>
      <c r="O216" s="17">
        <v>9.0</v>
      </c>
      <c r="P216" s="2">
        <f>+9</f>
        <v>9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20" t="s">
        <v>673</v>
      </c>
      <c r="B217" s="20" t="s">
        <v>491</v>
      </c>
      <c r="C217" s="50"/>
      <c r="D217" s="20" t="s">
        <v>674</v>
      </c>
      <c r="E217" s="20" t="s">
        <v>31</v>
      </c>
      <c r="F217" s="31">
        <v>0.0</v>
      </c>
      <c r="G217" s="20"/>
      <c r="H217" s="31">
        <v>2025.0</v>
      </c>
      <c r="I217" s="2"/>
      <c r="J217" s="2"/>
      <c r="K217" s="17" t="s">
        <v>478</v>
      </c>
      <c r="L217" s="17" t="s">
        <v>479</v>
      </c>
      <c r="M217" s="17" t="s">
        <v>646</v>
      </c>
      <c r="N217" s="17" t="s">
        <v>647</v>
      </c>
      <c r="O217" s="17">
        <v>8.0</v>
      </c>
      <c r="P217" s="17" t="s">
        <v>605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20" t="s">
        <v>675</v>
      </c>
      <c r="B218" s="40"/>
      <c r="C218" s="50"/>
      <c r="D218" s="20" t="s">
        <v>676</v>
      </c>
      <c r="E218" s="20" t="s">
        <v>677</v>
      </c>
      <c r="F218" s="31">
        <v>3.0</v>
      </c>
      <c r="G218" s="20"/>
      <c r="H218" s="31">
        <v>2025.0</v>
      </c>
      <c r="I218" s="2"/>
      <c r="J218" s="2"/>
      <c r="K218" s="17" t="s">
        <v>649</v>
      </c>
      <c r="L218" s="17" t="s">
        <v>650</v>
      </c>
      <c r="M218" s="17" t="s">
        <v>651</v>
      </c>
      <c r="N218" s="17" t="s">
        <v>652</v>
      </c>
      <c r="O218" s="17">
        <v>6.0</v>
      </c>
      <c r="P218" s="2">
        <f>+6</f>
        <v>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26" t="s">
        <v>516</v>
      </c>
      <c r="B219" s="26" t="s">
        <v>653</v>
      </c>
      <c r="C219" s="51"/>
      <c r="D219" s="26" t="s">
        <v>678</v>
      </c>
      <c r="E219" s="26" t="s">
        <v>106</v>
      </c>
      <c r="F219" s="37">
        <v>2.0</v>
      </c>
      <c r="G219" s="53"/>
      <c r="H219" s="52">
        <v>2025.0</v>
      </c>
      <c r="I219" s="2"/>
      <c r="J219" s="2"/>
      <c r="K219" s="17" t="s">
        <v>516</v>
      </c>
      <c r="L219" s="17" t="s">
        <v>653</v>
      </c>
      <c r="M219" s="17" t="s">
        <v>654</v>
      </c>
      <c r="N219" s="17" t="s">
        <v>655</v>
      </c>
      <c r="O219" s="17">
        <v>2.0</v>
      </c>
      <c r="P219" s="17" t="s">
        <v>605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26" t="s">
        <v>679</v>
      </c>
      <c r="B220" s="26" t="s">
        <v>680</v>
      </c>
      <c r="C220" s="51"/>
      <c r="D220" s="26" t="s">
        <v>681</v>
      </c>
      <c r="E220" s="26" t="s">
        <v>682</v>
      </c>
      <c r="F220" s="37">
        <v>1.0</v>
      </c>
      <c r="G220" s="53"/>
      <c r="H220" s="52">
        <v>2025.0</v>
      </c>
      <c r="I220" s="2"/>
      <c r="J220" s="2"/>
      <c r="K220" s="17" t="s">
        <v>656</v>
      </c>
      <c r="L220" s="17" t="s">
        <v>657</v>
      </c>
      <c r="M220" s="17">
        <v>4420.0</v>
      </c>
      <c r="N220" s="17" t="s">
        <v>658</v>
      </c>
      <c r="O220" s="17">
        <v>0.0</v>
      </c>
      <c r="P220" s="17" t="s">
        <v>614</v>
      </c>
      <c r="Q220" s="2"/>
      <c r="R220" s="2"/>
      <c r="S220" s="2"/>
      <c r="T220" s="2"/>
      <c r="U220" s="2"/>
      <c r="V220" s="2"/>
      <c r="W220" s="2"/>
      <c r="X220" s="2"/>
      <c r="Y220" s="2"/>
    </row>
    <row r="221" ht="22.5" customHeight="1">
      <c r="A221" s="20" t="s">
        <v>683</v>
      </c>
      <c r="B221" s="40"/>
      <c r="C221" s="50"/>
      <c r="D221" s="20" t="s">
        <v>684</v>
      </c>
      <c r="E221" s="20" t="s">
        <v>685</v>
      </c>
      <c r="F221" s="31">
        <v>61.0</v>
      </c>
      <c r="G221" s="20"/>
      <c r="H221" s="31">
        <v>2025.0</v>
      </c>
      <c r="I221" s="2"/>
      <c r="J221" s="2"/>
      <c r="K221" s="17" t="s">
        <v>659</v>
      </c>
      <c r="L221" s="2"/>
      <c r="M221" s="17" t="s">
        <v>660</v>
      </c>
      <c r="N221" s="17" t="s">
        <v>661</v>
      </c>
      <c r="O221" s="17">
        <v>1.0</v>
      </c>
      <c r="P221" s="2">
        <f t="shared" ref="P221:P222" si="2">+1</f>
        <v>1</v>
      </c>
      <c r="Q221" s="2"/>
      <c r="R221" s="2"/>
      <c r="S221" s="2"/>
      <c r="T221" s="2"/>
      <c r="U221" s="2"/>
      <c r="V221" s="2"/>
      <c r="W221" s="2"/>
      <c r="X221" s="2"/>
      <c r="Y221" s="2"/>
    </row>
    <row r="222" ht="22.5" customHeight="1">
      <c r="A222" s="26" t="s">
        <v>686</v>
      </c>
      <c r="B222" s="26" t="s">
        <v>687</v>
      </c>
      <c r="C222" s="51"/>
      <c r="D222" s="26" t="s">
        <v>688</v>
      </c>
      <c r="E222" s="26" t="s">
        <v>689</v>
      </c>
      <c r="F222" s="37">
        <v>17.0</v>
      </c>
      <c r="G222" s="53"/>
      <c r="H222" s="52">
        <v>2025.0</v>
      </c>
      <c r="I222" s="2"/>
      <c r="J222" s="2"/>
      <c r="K222" s="17" t="s">
        <v>662</v>
      </c>
      <c r="L222" s="17" t="s">
        <v>663</v>
      </c>
      <c r="M222" s="17" t="s">
        <v>664</v>
      </c>
      <c r="N222" s="17" t="s">
        <v>665</v>
      </c>
      <c r="O222" s="17">
        <v>1.0</v>
      </c>
      <c r="P222" s="2">
        <f t="shared" si="2"/>
        <v>1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26" t="s">
        <v>275</v>
      </c>
      <c r="B223" s="26" t="s">
        <v>178</v>
      </c>
      <c r="C223" s="51"/>
      <c r="D223" s="26" t="s">
        <v>690</v>
      </c>
      <c r="E223" s="26" t="s">
        <v>691</v>
      </c>
      <c r="F223" s="37">
        <v>11.0</v>
      </c>
      <c r="G223" s="53"/>
      <c r="H223" s="52">
        <v>2025.0</v>
      </c>
      <c r="I223" s="2"/>
      <c r="J223" s="2"/>
      <c r="K223" s="17" t="s">
        <v>666</v>
      </c>
      <c r="L223" s="17" t="s">
        <v>667</v>
      </c>
      <c r="M223" s="17" t="s">
        <v>668</v>
      </c>
      <c r="N223" s="17" t="s">
        <v>551</v>
      </c>
      <c r="O223" s="17">
        <v>0.0</v>
      </c>
      <c r="P223" s="17" t="s">
        <v>614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26" t="s">
        <v>132</v>
      </c>
      <c r="B224" s="26" t="s">
        <v>133</v>
      </c>
      <c r="C224" s="51"/>
      <c r="D224" s="26" t="s">
        <v>692</v>
      </c>
      <c r="E224" s="26" t="s">
        <v>693</v>
      </c>
      <c r="F224" s="37">
        <v>11.0</v>
      </c>
      <c r="G224" s="53"/>
      <c r="H224" s="52">
        <v>2025.0</v>
      </c>
      <c r="I224" s="2"/>
      <c r="J224" s="2"/>
      <c r="K224" s="17" t="s">
        <v>669</v>
      </c>
      <c r="L224" s="17" t="s">
        <v>437</v>
      </c>
      <c r="M224" s="17" t="s">
        <v>670</v>
      </c>
      <c r="N224" s="17" t="s">
        <v>671</v>
      </c>
      <c r="O224" s="17">
        <v>0.0</v>
      </c>
      <c r="P224" s="17" t="s">
        <v>627</v>
      </c>
      <c r="Q224" s="2"/>
      <c r="R224" s="2"/>
      <c r="S224" s="2"/>
      <c r="T224" s="2"/>
      <c r="U224" s="2"/>
      <c r="V224" s="2"/>
      <c r="W224" s="2"/>
      <c r="X224" s="2"/>
      <c r="Y224" s="2"/>
    </row>
    <row r="225" ht="22.5" customHeight="1">
      <c r="A225" s="26" t="s">
        <v>12</v>
      </c>
      <c r="B225" s="26" t="s">
        <v>13</v>
      </c>
      <c r="C225" s="51"/>
      <c r="D225" s="26" t="s">
        <v>694</v>
      </c>
      <c r="E225" s="26" t="s">
        <v>484</v>
      </c>
      <c r="F225" s="37">
        <v>8.0</v>
      </c>
      <c r="G225" s="53"/>
      <c r="H225" s="52">
        <v>2025.0</v>
      </c>
      <c r="I225" s="2"/>
      <c r="J225" s="2"/>
      <c r="K225" s="17" t="s">
        <v>117</v>
      </c>
      <c r="L225" s="17" t="s">
        <v>457</v>
      </c>
      <c r="M225" s="17" t="s">
        <v>672</v>
      </c>
      <c r="N225" s="17" t="s">
        <v>371</v>
      </c>
      <c r="O225" s="17">
        <v>1.0</v>
      </c>
      <c r="P225" s="2">
        <f>+1</f>
        <v>1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26" t="s">
        <v>17</v>
      </c>
      <c r="B226" s="26" t="s">
        <v>18</v>
      </c>
      <c r="C226" s="51"/>
      <c r="D226" s="26" t="s">
        <v>695</v>
      </c>
      <c r="E226" s="26" t="s">
        <v>696</v>
      </c>
      <c r="F226" s="37">
        <v>9.0</v>
      </c>
      <c r="G226" s="53"/>
      <c r="H226" s="52">
        <v>2025.0</v>
      </c>
      <c r="I226" s="2"/>
      <c r="J226" s="2"/>
      <c r="K226" s="17"/>
      <c r="L226" s="1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26" t="s">
        <v>83</v>
      </c>
      <c r="B227" s="26" t="s">
        <v>84</v>
      </c>
      <c r="C227" s="51"/>
      <c r="D227" s="26" t="s">
        <v>697</v>
      </c>
      <c r="E227" s="26" t="s">
        <v>698</v>
      </c>
      <c r="F227" s="37">
        <v>3.0</v>
      </c>
      <c r="G227" s="53"/>
      <c r="H227" s="52">
        <v>2025.0</v>
      </c>
      <c r="I227" s="2"/>
      <c r="J227" s="2"/>
      <c r="K227" s="17"/>
      <c r="L227" s="1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26" t="s">
        <v>22</v>
      </c>
      <c r="B228" s="26" t="s">
        <v>23</v>
      </c>
      <c r="C228" s="51"/>
      <c r="D228" s="26" t="s">
        <v>699</v>
      </c>
      <c r="E228" s="26" t="s">
        <v>700</v>
      </c>
      <c r="F228" s="37">
        <v>2.0</v>
      </c>
      <c r="G228" s="53"/>
      <c r="H228" s="52">
        <v>2025.0</v>
      </c>
      <c r="I228" s="2"/>
      <c r="J228" s="2"/>
      <c r="K228" s="17"/>
      <c r="L228" s="1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20" t="s">
        <v>701</v>
      </c>
      <c r="B229" s="40"/>
      <c r="C229" s="50"/>
      <c r="D229" s="20" t="s">
        <v>702</v>
      </c>
      <c r="E229" s="20" t="s">
        <v>703</v>
      </c>
      <c r="F229" s="31">
        <v>0.0</v>
      </c>
      <c r="G229" s="20"/>
      <c r="H229" s="31">
        <v>2025.0</v>
      </c>
      <c r="I229" s="2"/>
      <c r="J229" s="2"/>
      <c r="K229" s="17"/>
      <c r="L229" s="17"/>
      <c r="M229" s="17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26" t="s">
        <v>27</v>
      </c>
      <c r="B230" s="26" t="s">
        <v>28</v>
      </c>
      <c r="C230" s="51"/>
      <c r="D230" s="26" t="s">
        <v>704</v>
      </c>
      <c r="E230" s="26" t="s">
        <v>705</v>
      </c>
      <c r="F230" s="37">
        <v>0.0</v>
      </c>
      <c r="G230" s="53"/>
      <c r="H230" s="52">
        <v>2025.0</v>
      </c>
      <c r="I230" s="2"/>
      <c r="J230" s="2"/>
      <c r="K230" s="17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26" t="s">
        <v>706</v>
      </c>
      <c r="B231" s="26" t="s">
        <v>425</v>
      </c>
      <c r="C231" s="51"/>
      <c r="D231" s="26" t="s">
        <v>707</v>
      </c>
      <c r="E231" s="26" t="s">
        <v>708</v>
      </c>
      <c r="F231" s="37">
        <v>0.0</v>
      </c>
      <c r="G231" s="53"/>
      <c r="H231" s="52">
        <v>2025.0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20" t="s">
        <v>709</v>
      </c>
      <c r="B232" s="20" t="s">
        <v>710</v>
      </c>
      <c r="C232" s="50"/>
      <c r="D232" s="20" t="s">
        <v>711</v>
      </c>
      <c r="E232" s="20" t="s">
        <v>712</v>
      </c>
      <c r="F232" s="31">
        <v>0.0</v>
      </c>
      <c r="G232" s="20"/>
      <c r="H232" s="31">
        <v>2025.0</v>
      </c>
      <c r="I232" s="2"/>
      <c r="J232" s="2"/>
      <c r="K232" s="17" t="s">
        <v>0</v>
      </c>
      <c r="L232" s="17" t="s">
        <v>1</v>
      </c>
      <c r="M232" s="17" t="s">
        <v>3</v>
      </c>
      <c r="N232" s="17" t="s">
        <v>460</v>
      </c>
      <c r="O232" s="17" t="s">
        <v>461</v>
      </c>
      <c r="P232" s="17" t="s">
        <v>594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20" t="s">
        <v>713</v>
      </c>
      <c r="B233" s="20" t="s">
        <v>472</v>
      </c>
      <c r="C233" s="50"/>
      <c r="D233" s="20" t="s">
        <v>714</v>
      </c>
      <c r="E233" s="20" t="s">
        <v>715</v>
      </c>
      <c r="F233" s="31">
        <v>0.0</v>
      </c>
      <c r="G233" s="20"/>
      <c r="H233" s="31">
        <v>2025.0</v>
      </c>
      <c r="I233" s="2"/>
      <c r="J233" s="2"/>
      <c r="K233" s="32" t="s">
        <v>673</v>
      </c>
      <c r="L233" s="17" t="s">
        <v>491</v>
      </c>
      <c r="M233" s="17" t="s">
        <v>674</v>
      </c>
      <c r="N233" s="17" t="s">
        <v>31</v>
      </c>
      <c r="O233" s="17">
        <v>0.0</v>
      </c>
      <c r="P233" s="17">
        <v>-2.0</v>
      </c>
      <c r="Q233" s="2"/>
      <c r="R233" s="2"/>
      <c r="S233" s="2"/>
      <c r="T233" s="2"/>
      <c r="U233" s="2"/>
      <c r="V233" s="2"/>
      <c r="W233" s="2"/>
      <c r="X233" s="2"/>
      <c r="Y233" s="2"/>
    </row>
    <row r="234" ht="22.5" customHeight="1">
      <c r="A234" s="20" t="s">
        <v>716</v>
      </c>
      <c r="B234" s="20" t="s">
        <v>717</v>
      </c>
      <c r="C234" s="50"/>
      <c r="D234" s="20" t="s">
        <v>718</v>
      </c>
      <c r="E234" s="20" t="s">
        <v>465</v>
      </c>
      <c r="F234" s="31">
        <v>0.0</v>
      </c>
      <c r="G234" s="20"/>
      <c r="H234" s="31">
        <v>2025.0</v>
      </c>
      <c r="I234" s="2"/>
      <c r="J234" s="2"/>
      <c r="K234" s="17" t="s">
        <v>675</v>
      </c>
      <c r="L234" s="2"/>
      <c r="M234" s="17" t="s">
        <v>676</v>
      </c>
      <c r="N234" s="17" t="s">
        <v>677</v>
      </c>
      <c r="O234" s="17">
        <v>3.0</v>
      </c>
      <c r="P234" s="2">
        <f>+1</f>
        <v>1</v>
      </c>
      <c r="Q234" s="2"/>
      <c r="R234" s="2"/>
      <c r="S234" s="2"/>
      <c r="T234" s="2"/>
      <c r="U234" s="2"/>
      <c r="V234" s="2"/>
      <c r="W234" s="2"/>
      <c r="X234" s="2"/>
      <c r="Y234" s="2"/>
    </row>
    <row r="235" ht="22.5" customHeight="1">
      <c r="A235" s="20" t="s">
        <v>719</v>
      </c>
      <c r="B235" s="20" t="s">
        <v>720</v>
      </c>
      <c r="C235" s="50"/>
      <c r="D235" s="20" t="s">
        <v>721</v>
      </c>
      <c r="E235" s="20" t="s">
        <v>35</v>
      </c>
      <c r="F235" s="31">
        <v>0.0</v>
      </c>
      <c r="G235" s="20"/>
      <c r="H235" s="31">
        <v>2025.0</v>
      </c>
      <c r="I235" s="2"/>
      <c r="J235" s="2"/>
      <c r="K235" s="17" t="s">
        <v>516</v>
      </c>
      <c r="L235" s="17" t="s">
        <v>653</v>
      </c>
      <c r="M235" s="17" t="s">
        <v>678</v>
      </c>
      <c r="N235" s="17" t="s">
        <v>106</v>
      </c>
      <c r="O235" s="17">
        <v>2.0</v>
      </c>
      <c r="P235" s="17" t="s">
        <v>614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20" t="s">
        <v>722</v>
      </c>
      <c r="B236" s="20" t="s">
        <v>585</v>
      </c>
      <c r="C236" s="50"/>
      <c r="D236" s="20" t="s">
        <v>723</v>
      </c>
      <c r="E236" s="20" t="s">
        <v>724</v>
      </c>
      <c r="F236" s="31">
        <v>14.0</v>
      </c>
      <c r="G236" s="20"/>
      <c r="H236" s="31">
        <v>2025.0</v>
      </c>
      <c r="I236" s="2"/>
      <c r="J236" s="2"/>
      <c r="K236" s="17" t="s">
        <v>679</v>
      </c>
      <c r="L236" s="17" t="s">
        <v>680</v>
      </c>
      <c r="M236" s="17" t="s">
        <v>681</v>
      </c>
      <c r="N236" s="17" t="s">
        <v>682</v>
      </c>
      <c r="O236" s="17">
        <v>1.0</v>
      </c>
      <c r="P236" s="2">
        <f>+1</f>
        <v>1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20" t="s">
        <v>725</v>
      </c>
      <c r="B237" s="40"/>
      <c r="C237" s="50"/>
      <c r="D237" s="20" t="s">
        <v>726</v>
      </c>
      <c r="E237" s="20" t="s">
        <v>727</v>
      </c>
      <c r="F237" s="31">
        <v>34.0</v>
      </c>
      <c r="G237" s="20"/>
      <c r="H237" s="31">
        <v>2025.0</v>
      </c>
      <c r="I237" s="2"/>
      <c r="J237" s="2"/>
      <c r="K237" s="17" t="s">
        <v>683</v>
      </c>
      <c r="L237" s="2"/>
      <c r="M237" s="17" t="s">
        <v>684</v>
      </c>
      <c r="N237" s="17" t="s">
        <v>685</v>
      </c>
      <c r="O237" s="17">
        <v>61.0</v>
      </c>
      <c r="P237" s="17">
        <v>-10.0</v>
      </c>
      <c r="Q237" s="2"/>
      <c r="R237" s="2"/>
      <c r="S237" s="2"/>
      <c r="T237" s="2"/>
      <c r="U237" s="2"/>
      <c r="V237" s="2"/>
      <c r="W237" s="2"/>
      <c r="X237" s="2"/>
      <c r="Y237" s="2"/>
    </row>
    <row r="238" ht="22.5" customHeight="1">
      <c r="A238" s="26" t="s">
        <v>51</v>
      </c>
      <c r="B238" s="26" t="s">
        <v>52</v>
      </c>
      <c r="C238" s="51"/>
      <c r="D238" s="26" t="s">
        <v>728</v>
      </c>
      <c r="E238" s="26" t="s">
        <v>729</v>
      </c>
      <c r="F238" s="37">
        <v>18.0</v>
      </c>
      <c r="G238" s="53"/>
      <c r="H238" s="52">
        <v>2025.0</v>
      </c>
      <c r="I238" s="2"/>
      <c r="J238" s="2"/>
      <c r="K238" s="17" t="s">
        <v>686</v>
      </c>
      <c r="L238" s="17" t="s">
        <v>687</v>
      </c>
      <c r="M238" s="17" t="s">
        <v>688</v>
      </c>
      <c r="N238" s="17" t="s">
        <v>689</v>
      </c>
      <c r="O238" s="17">
        <v>17.0</v>
      </c>
      <c r="P238" s="17">
        <v>-6.0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26" t="s">
        <v>46</v>
      </c>
      <c r="B239" s="26" t="s">
        <v>47</v>
      </c>
      <c r="C239" s="51"/>
      <c r="D239" s="26" t="s">
        <v>730</v>
      </c>
      <c r="E239" s="26" t="s">
        <v>731</v>
      </c>
      <c r="F239" s="37">
        <v>13.0</v>
      </c>
      <c r="G239" s="53"/>
      <c r="H239" s="52">
        <v>2025.0</v>
      </c>
      <c r="I239" s="2"/>
      <c r="J239" s="2"/>
      <c r="K239" s="17" t="s">
        <v>275</v>
      </c>
      <c r="L239" s="17" t="s">
        <v>178</v>
      </c>
      <c r="M239" s="17" t="s">
        <v>690</v>
      </c>
      <c r="N239" s="17" t="s">
        <v>691</v>
      </c>
      <c r="O239" s="17">
        <v>11.0</v>
      </c>
      <c r="P239" s="17">
        <v>-2.0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26" t="s">
        <v>562</v>
      </c>
      <c r="B240" s="26" t="s">
        <v>578</v>
      </c>
      <c r="C240" s="51"/>
      <c r="D240" s="26" t="s">
        <v>732</v>
      </c>
      <c r="E240" s="26" t="s">
        <v>733</v>
      </c>
      <c r="F240" s="37">
        <v>2.0</v>
      </c>
      <c r="G240" s="53"/>
      <c r="H240" s="52">
        <v>2025.0</v>
      </c>
      <c r="I240" s="2"/>
      <c r="J240" s="2"/>
      <c r="K240" s="17" t="s">
        <v>132</v>
      </c>
      <c r="L240" s="17" t="s">
        <v>133</v>
      </c>
      <c r="M240" s="17" t="s">
        <v>692</v>
      </c>
      <c r="N240" s="17" t="s">
        <v>693</v>
      </c>
      <c r="O240" s="17">
        <v>11.0</v>
      </c>
      <c r="P240" s="17">
        <v>-1.0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26" t="s">
        <v>734</v>
      </c>
      <c r="B241" s="26" t="s">
        <v>735</v>
      </c>
      <c r="C241" s="51"/>
      <c r="D241" s="26" t="s">
        <v>736</v>
      </c>
      <c r="E241" s="26" t="s">
        <v>737</v>
      </c>
      <c r="F241" s="37">
        <v>1.0</v>
      </c>
      <c r="G241" s="53"/>
      <c r="H241" s="52">
        <v>2025.0</v>
      </c>
      <c r="I241" s="2"/>
      <c r="J241" s="2"/>
      <c r="K241" s="17" t="s">
        <v>12</v>
      </c>
      <c r="L241" s="17" t="s">
        <v>13</v>
      </c>
      <c r="M241" s="17" t="s">
        <v>694</v>
      </c>
      <c r="N241" s="17" t="s">
        <v>484</v>
      </c>
      <c r="O241" s="17">
        <v>8.0</v>
      </c>
      <c r="P241" s="17" t="s">
        <v>614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20" t="s">
        <v>738</v>
      </c>
      <c r="B242" s="40"/>
      <c r="C242" s="50"/>
      <c r="D242" s="20" t="s">
        <v>739</v>
      </c>
      <c r="E242" s="20" t="s">
        <v>740</v>
      </c>
      <c r="F242" s="31">
        <v>42.0</v>
      </c>
      <c r="G242" s="20"/>
      <c r="H242" s="31">
        <v>2025.0</v>
      </c>
      <c r="I242" s="2"/>
      <c r="J242" s="2"/>
      <c r="K242" s="17" t="s">
        <v>17</v>
      </c>
      <c r="L242" s="17" t="s">
        <v>18</v>
      </c>
      <c r="M242" s="17" t="s">
        <v>695</v>
      </c>
      <c r="N242" s="17" t="s">
        <v>696</v>
      </c>
      <c r="O242" s="17">
        <v>9.0</v>
      </c>
      <c r="P242" s="2">
        <f>+2</f>
        <v>2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26" t="s">
        <v>628</v>
      </c>
      <c r="B243" s="26" t="s">
        <v>629</v>
      </c>
      <c r="C243" s="51"/>
      <c r="D243" s="26" t="s">
        <v>741</v>
      </c>
      <c r="E243" s="26" t="s">
        <v>742</v>
      </c>
      <c r="F243" s="37">
        <v>31.0</v>
      </c>
      <c r="G243" s="53"/>
      <c r="H243" s="52">
        <v>2025.0</v>
      </c>
      <c r="I243" s="2"/>
      <c r="J243" s="2"/>
      <c r="K243" s="17" t="s">
        <v>83</v>
      </c>
      <c r="L243" s="17" t="s">
        <v>84</v>
      </c>
      <c r="M243" s="17" t="s">
        <v>697</v>
      </c>
      <c r="N243" s="17" t="s">
        <v>698</v>
      </c>
      <c r="O243" s="17">
        <v>3.0</v>
      </c>
      <c r="P243" s="17">
        <v>-1.0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26" t="s">
        <v>743</v>
      </c>
      <c r="B244" s="26" t="s">
        <v>744</v>
      </c>
      <c r="C244" s="51"/>
      <c r="D244" s="26" t="s">
        <v>745</v>
      </c>
      <c r="E244" s="26" t="s">
        <v>746</v>
      </c>
      <c r="F244" s="37">
        <v>8.0</v>
      </c>
      <c r="G244" s="53"/>
      <c r="H244" s="52">
        <v>2025.0</v>
      </c>
      <c r="I244" s="2"/>
      <c r="J244" s="2"/>
      <c r="K244" s="17" t="s">
        <v>22</v>
      </c>
      <c r="L244" s="17" t="s">
        <v>23</v>
      </c>
      <c r="M244" s="17" t="s">
        <v>699</v>
      </c>
      <c r="N244" s="17" t="s">
        <v>700</v>
      </c>
      <c r="O244" s="17">
        <v>2.0</v>
      </c>
      <c r="P244" s="17">
        <v>-2.0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26" t="s">
        <v>747</v>
      </c>
      <c r="B245" s="26" t="s">
        <v>748</v>
      </c>
      <c r="C245" s="51"/>
      <c r="D245" s="26" t="s">
        <v>749</v>
      </c>
      <c r="E245" s="26" t="s">
        <v>750</v>
      </c>
      <c r="F245" s="37">
        <v>3.0</v>
      </c>
      <c r="G245" s="53"/>
      <c r="H245" s="52">
        <v>2025.0</v>
      </c>
      <c r="I245" s="2"/>
      <c r="J245" s="2"/>
      <c r="K245" s="17" t="s">
        <v>701</v>
      </c>
      <c r="L245" s="2"/>
      <c r="M245" s="17" t="s">
        <v>702</v>
      </c>
      <c r="N245" s="17" t="s">
        <v>703</v>
      </c>
      <c r="O245" s="17">
        <v>0.0</v>
      </c>
      <c r="P245" s="17">
        <v>-3.0</v>
      </c>
      <c r="Q245" s="2"/>
      <c r="R245" s="2"/>
      <c r="S245" s="2"/>
      <c r="T245" s="2"/>
      <c r="U245" s="2"/>
      <c r="V245" s="2"/>
      <c r="W245" s="2"/>
      <c r="X245" s="2"/>
      <c r="Y245" s="2"/>
    </row>
    <row r="246" ht="22.5" customHeight="1">
      <c r="A246" s="20" t="s">
        <v>117</v>
      </c>
      <c r="B246" s="20" t="s">
        <v>457</v>
      </c>
      <c r="C246" s="50"/>
      <c r="D246" s="20" t="s">
        <v>751</v>
      </c>
      <c r="E246" s="20" t="s">
        <v>86</v>
      </c>
      <c r="F246" s="31">
        <v>1.0</v>
      </c>
      <c r="G246" s="20"/>
      <c r="H246" s="31">
        <v>2025.0</v>
      </c>
      <c r="I246" s="2"/>
      <c r="J246" s="2"/>
      <c r="K246" s="17" t="s">
        <v>27</v>
      </c>
      <c r="L246" s="17" t="s">
        <v>28</v>
      </c>
      <c r="M246" s="17" t="s">
        <v>704</v>
      </c>
      <c r="N246" s="17" t="s">
        <v>705</v>
      </c>
      <c r="O246" s="17">
        <v>0.0</v>
      </c>
      <c r="P246" s="17">
        <v>-3.0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17" t="s">
        <v>706</v>
      </c>
      <c r="L247" s="17" t="s">
        <v>425</v>
      </c>
      <c r="M247" s="17" t="s">
        <v>707</v>
      </c>
      <c r="N247" s="17" t="s">
        <v>708</v>
      </c>
      <c r="O247" s="17">
        <v>0.0</v>
      </c>
      <c r="P247" s="17" t="s">
        <v>614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17" t="s">
        <v>709</v>
      </c>
      <c r="L248" s="17" t="s">
        <v>710</v>
      </c>
      <c r="M248" s="17" t="s">
        <v>711</v>
      </c>
      <c r="N248" s="17" t="s">
        <v>712</v>
      </c>
      <c r="O248" s="17">
        <v>0.0</v>
      </c>
      <c r="P248" s="17" t="s">
        <v>614</v>
      </c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17" t="s">
        <v>713</v>
      </c>
      <c r="L249" s="17" t="s">
        <v>472</v>
      </c>
      <c r="M249" s="17" t="s">
        <v>714</v>
      </c>
      <c r="N249" s="17" t="s">
        <v>715</v>
      </c>
      <c r="O249" s="17">
        <v>0.0</v>
      </c>
      <c r="P249" s="17" t="s">
        <v>614</v>
      </c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17" t="s">
        <v>716</v>
      </c>
      <c r="L250" s="17" t="s">
        <v>717</v>
      </c>
      <c r="M250" s="17" t="s">
        <v>718</v>
      </c>
      <c r="N250" s="17" t="s">
        <v>465</v>
      </c>
      <c r="O250" s="17">
        <v>0.0</v>
      </c>
      <c r="P250" s="17" t="s">
        <v>614</v>
      </c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17" t="s">
        <v>719</v>
      </c>
      <c r="L251" s="17" t="s">
        <v>720</v>
      </c>
      <c r="M251" s="17" t="s">
        <v>721</v>
      </c>
      <c r="N251" s="17" t="s">
        <v>35</v>
      </c>
      <c r="O251" s="17">
        <v>0.0</v>
      </c>
      <c r="P251" s="17" t="s">
        <v>614</v>
      </c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7" t="s">
        <v>722</v>
      </c>
      <c r="L252" s="17" t="s">
        <v>585</v>
      </c>
      <c r="M252" s="17" t="s">
        <v>723</v>
      </c>
      <c r="N252" s="17" t="s">
        <v>724</v>
      </c>
      <c r="O252" s="17">
        <v>14.0</v>
      </c>
      <c r="P252" s="2">
        <f>+8</f>
        <v>8</v>
      </c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17" t="s">
        <v>725</v>
      </c>
      <c r="L253" s="2"/>
      <c r="M253" s="17" t="s">
        <v>726</v>
      </c>
      <c r="N253" s="17" t="s">
        <v>727</v>
      </c>
      <c r="O253" s="17">
        <v>34.0</v>
      </c>
      <c r="P253" s="17">
        <v>-18.0</v>
      </c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17" t="s">
        <v>51</v>
      </c>
      <c r="L254" s="17" t="s">
        <v>52</v>
      </c>
      <c r="M254" s="17" t="s">
        <v>728</v>
      </c>
      <c r="N254" s="17" t="s">
        <v>729</v>
      </c>
      <c r="O254" s="17">
        <v>18.0</v>
      </c>
      <c r="P254" s="17">
        <v>-5.0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17" t="s">
        <v>46</v>
      </c>
      <c r="L255" s="17" t="s">
        <v>47</v>
      </c>
      <c r="M255" s="17" t="s">
        <v>730</v>
      </c>
      <c r="N255" s="17" t="s">
        <v>731</v>
      </c>
      <c r="O255" s="17">
        <v>13.0</v>
      </c>
      <c r="P255" s="17">
        <v>-12.0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17" t="s">
        <v>562</v>
      </c>
      <c r="L256" s="17" t="s">
        <v>578</v>
      </c>
      <c r="M256" s="17" t="s">
        <v>732</v>
      </c>
      <c r="N256" s="17" t="s">
        <v>733</v>
      </c>
      <c r="O256" s="17">
        <v>2.0</v>
      </c>
      <c r="P256" s="17">
        <v>-2.0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17" t="s">
        <v>734</v>
      </c>
      <c r="L257" s="17" t="s">
        <v>735</v>
      </c>
      <c r="M257" s="17" t="s">
        <v>736</v>
      </c>
      <c r="N257" s="17" t="s">
        <v>737</v>
      </c>
      <c r="O257" s="17">
        <v>1.0</v>
      </c>
      <c r="P257" s="2">
        <f>+1</f>
        <v>1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17" t="s">
        <v>738</v>
      </c>
      <c r="L258" s="2"/>
      <c r="M258" s="17" t="s">
        <v>739</v>
      </c>
      <c r="N258" s="17" t="s">
        <v>740</v>
      </c>
      <c r="O258" s="17">
        <v>42.0</v>
      </c>
      <c r="P258" s="2">
        <f>+28</f>
        <v>28</v>
      </c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17" t="s">
        <v>628</v>
      </c>
      <c r="L259" s="17" t="s">
        <v>629</v>
      </c>
      <c r="M259" s="17" t="s">
        <v>741</v>
      </c>
      <c r="N259" s="17" t="s">
        <v>742</v>
      </c>
      <c r="O259" s="17">
        <v>31.0</v>
      </c>
      <c r="P259" s="2">
        <f>+17</f>
        <v>17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17" t="s">
        <v>743</v>
      </c>
      <c r="L260" s="17" t="s">
        <v>744</v>
      </c>
      <c r="M260" s="17" t="s">
        <v>745</v>
      </c>
      <c r="N260" s="17" t="s">
        <v>746</v>
      </c>
      <c r="O260" s="17">
        <v>8.0</v>
      </c>
      <c r="P260" s="2">
        <f>+8</f>
        <v>8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17" t="s">
        <v>747</v>
      </c>
      <c r="L261" s="17" t="s">
        <v>748</v>
      </c>
      <c r="M261" s="17" t="s">
        <v>749</v>
      </c>
      <c r="N261" s="17" t="s">
        <v>750</v>
      </c>
      <c r="O261" s="17">
        <v>3.0</v>
      </c>
      <c r="P261" s="2">
        <f>+3</f>
        <v>3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17" t="s">
        <v>117</v>
      </c>
      <c r="L262" s="17" t="s">
        <v>457</v>
      </c>
      <c r="M262" s="17" t="s">
        <v>751</v>
      </c>
      <c r="N262" s="17" t="s">
        <v>86</v>
      </c>
      <c r="O262" s="17">
        <v>1.0</v>
      </c>
      <c r="P262" s="17" t="s">
        <v>614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17" t="s">
        <v>0</v>
      </c>
      <c r="L266" s="17" t="s">
        <v>1</v>
      </c>
      <c r="M266" s="17" t="s">
        <v>114</v>
      </c>
      <c r="N266" s="17" t="s">
        <v>3</v>
      </c>
      <c r="O266" s="17" t="s">
        <v>115</v>
      </c>
      <c r="P266" s="17" t="s">
        <v>116</v>
      </c>
      <c r="Q266" s="17" t="s">
        <v>115</v>
      </c>
      <c r="R266" s="17"/>
      <c r="S266" s="17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2" t="s">
        <v>125</v>
      </c>
      <c r="L267" s="2"/>
      <c r="M267" s="17">
        <v>92.0</v>
      </c>
      <c r="N267" s="17" t="s">
        <v>126</v>
      </c>
      <c r="O267" s="17" t="s">
        <v>127</v>
      </c>
      <c r="P267" s="17">
        <v>0.0</v>
      </c>
      <c r="Q267" s="17" t="s">
        <v>36</v>
      </c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17" t="s">
        <v>132</v>
      </c>
      <c r="L268" s="17" t="s">
        <v>133</v>
      </c>
      <c r="M268" s="17">
        <v>69.0</v>
      </c>
      <c r="N268" s="17" t="s">
        <v>134</v>
      </c>
      <c r="O268" s="17" t="s">
        <v>135</v>
      </c>
      <c r="P268" s="17">
        <v>0.0</v>
      </c>
      <c r="Q268" s="17" t="s">
        <v>36</v>
      </c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17" t="s">
        <v>139</v>
      </c>
      <c r="L269" s="17" t="s">
        <v>140</v>
      </c>
      <c r="M269" s="17">
        <v>3.0</v>
      </c>
      <c r="N269" s="17" t="s">
        <v>141</v>
      </c>
      <c r="O269" s="17" t="s">
        <v>142</v>
      </c>
      <c r="P269" s="17">
        <v>0.0</v>
      </c>
      <c r="Q269" s="17" t="s">
        <v>36</v>
      </c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17" t="s">
        <v>37</v>
      </c>
      <c r="L270" s="17" t="s">
        <v>38</v>
      </c>
      <c r="M270" s="17">
        <v>20.0</v>
      </c>
      <c r="N270" s="17" t="s">
        <v>146</v>
      </c>
      <c r="O270" s="17" t="s">
        <v>147</v>
      </c>
      <c r="P270" s="17">
        <v>0.0</v>
      </c>
      <c r="Q270" s="17" t="s">
        <v>36</v>
      </c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2" t="s">
        <v>151</v>
      </c>
      <c r="L271" s="2"/>
      <c r="M271" s="17">
        <v>120.0</v>
      </c>
      <c r="N271" s="17" t="s">
        <v>152</v>
      </c>
      <c r="O271" s="17" t="s">
        <v>153</v>
      </c>
      <c r="P271" s="17">
        <v>50.0</v>
      </c>
      <c r="Q271" s="17" t="s">
        <v>154</v>
      </c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17" t="s">
        <v>46</v>
      </c>
      <c r="L272" s="17" t="s">
        <v>47</v>
      </c>
      <c r="M272" s="17">
        <v>41.0</v>
      </c>
      <c r="N272" s="17" t="s">
        <v>158</v>
      </c>
      <c r="O272" s="17" t="s">
        <v>159</v>
      </c>
      <c r="P272" s="17">
        <v>29.0</v>
      </c>
      <c r="Q272" s="17" t="s">
        <v>50</v>
      </c>
      <c r="R272" s="17"/>
      <c r="S272" s="17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17" t="s">
        <v>51</v>
      </c>
      <c r="L273" s="17" t="s">
        <v>52</v>
      </c>
      <c r="M273" s="17">
        <v>29.0</v>
      </c>
      <c r="N273" s="17" t="s">
        <v>164</v>
      </c>
      <c r="O273" s="17" t="s">
        <v>165</v>
      </c>
      <c r="P273" s="17">
        <v>15.0</v>
      </c>
      <c r="Q273" s="17" t="s">
        <v>166</v>
      </c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17" t="s">
        <v>169</v>
      </c>
      <c r="L274" s="17" t="s">
        <v>170</v>
      </c>
      <c r="M274" s="17">
        <v>24.0</v>
      </c>
      <c r="N274" s="17" t="s">
        <v>171</v>
      </c>
      <c r="O274" s="17" t="s">
        <v>172</v>
      </c>
      <c r="P274" s="17">
        <v>2.0</v>
      </c>
      <c r="Q274" s="17" t="s">
        <v>102</v>
      </c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17" t="s">
        <v>148</v>
      </c>
      <c r="L275" s="17" t="s">
        <v>62</v>
      </c>
      <c r="M275" s="17">
        <v>1.0</v>
      </c>
      <c r="N275" s="17" t="s">
        <v>175</v>
      </c>
      <c r="O275" s="17" t="s">
        <v>176</v>
      </c>
      <c r="P275" s="17">
        <v>0.0</v>
      </c>
      <c r="Q275" s="17" t="s">
        <v>36</v>
      </c>
      <c r="R275" s="17"/>
      <c r="S275" s="17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17" t="s">
        <v>181</v>
      </c>
      <c r="L276" s="17" t="s">
        <v>96</v>
      </c>
      <c r="M276" s="17">
        <v>1.0</v>
      </c>
      <c r="N276" s="17">
        <v>2688.0</v>
      </c>
      <c r="O276" s="17" t="s">
        <v>182</v>
      </c>
      <c r="P276" s="17">
        <v>0.0</v>
      </c>
      <c r="Q276" s="17" t="s">
        <v>36</v>
      </c>
      <c r="R276" s="17"/>
      <c r="S276" s="17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17" t="s">
        <v>56</v>
      </c>
      <c r="L277" s="17" t="s">
        <v>57</v>
      </c>
      <c r="M277" s="17">
        <v>24.0</v>
      </c>
      <c r="N277" s="17" t="s">
        <v>187</v>
      </c>
      <c r="O277" s="17" t="s">
        <v>188</v>
      </c>
      <c r="P277" s="17">
        <v>4.0</v>
      </c>
      <c r="Q277" s="17" t="s">
        <v>186</v>
      </c>
      <c r="R277" s="17"/>
      <c r="S277" s="17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2" t="s">
        <v>194</v>
      </c>
      <c r="L278" s="2"/>
      <c r="M278" s="17">
        <v>48.0</v>
      </c>
      <c r="N278" s="17" t="s">
        <v>195</v>
      </c>
      <c r="O278" s="17" t="s">
        <v>196</v>
      </c>
      <c r="P278" s="17">
        <v>0.0</v>
      </c>
      <c r="Q278" s="17" t="s">
        <v>36</v>
      </c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17" t="s">
        <v>200</v>
      </c>
      <c r="L279" s="17" t="s">
        <v>201</v>
      </c>
      <c r="M279" s="17">
        <v>31.0</v>
      </c>
      <c r="N279" s="17" t="s">
        <v>202</v>
      </c>
      <c r="O279" s="17" t="s">
        <v>203</v>
      </c>
      <c r="P279" s="17">
        <v>0.0</v>
      </c>
      <c r="Q279" s="17" t="s">
        <v>36</v>
      </c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17" t="s">
        <v>207</v>
      </c>
      <c r="L280" s="17" t="s">
        <v>208</v>
      </c>
      <c r="M280" s="17">
        <v>1.0</v>
      </c>
      <c r="N280" s="17">
        <v>2215.0</v>
      </c>
      <c r="O280" s="17" t="s">
        <v>209</v>
      </c>
      <c r="P280" s="17">
        <v>0.0</v>
      </c>
      <c r="Q280" s="17" t="s">
        <v>36</v>
      </c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2" t="s">
        <v>189</v>
      </c>
      <c r="L281" s="17" t="s">
        <v>190</v>
      </c>
      <c r="M281" s="17">
        <v>16.0</v>
      </c>
      <c r="N281" s="17" t="s">
        <v>212</v>
      </c>
      <c r="O281" s="17" t="s">
        <v>213</v>
      </c>
      <c r="P281" s="17">
        <v>0.0</v>
      </c>
      <c r="Q281" s="17" t="s">
        <v>36</v>
      </c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2" t="s">
        <v>216</v>
      </c>
      <c r="L282" s="2"/>
      <c r="M282" s="17">
        <v>120.0</v>
      </c>
      <c r="N282" s="17" t="s">
        <v>217</v>
      </c>
      <c r="O282" s="17" t="s">
        <v>218</v>
      </c>
      <c r="P282" s="17">
        <v>70.0</v>
      </c>
      <c r="Q282" s="17" t="s">
        <v>219</v>
      </c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17" t="s">
        <v>12</v>
      </c>
      <c r="L283" s="17" t="s">
        <v>223</v>
      </c>
      <c r="M283" s="17">
        <v>48.0</v>
      </c>
      <c r="N283" s="17" t="s">
        <v>224</v>
      </c>
      <c r="O283" s="17" t="s">
        <v>225</v>
      </c>
      <c r="P283" s="17">
        <v>37.0</v>
      </c>
      <c r="Q283" s="17" t="s">
        <v>226</v>
      </c>
      <c r="R283" s="2"/>
      <c r="S283" s="17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17" t="s">
        <v>177</v>
      </c>
      <c r="L284" s="17" t="s">
        <v>178</v>
      </c>
      <c r="M284" s="17">
        <v>28.0</v>
      </c>
      <c r="N284" s="17" t="s">
        <v>231</v>
      </c>
      <c r="O284" s="17" t="s">
        <v>232</v>
      </c>
      <c r="P284" s="17">
        <v>15.0</v>
      </c>
      <c r="Q284" s="17" t="s">
        <v>166</v>
      </c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17" t="s">
        <v>17</v>
      </c>
      <c r="L285" s="17" t="s">
        <v>18</v>
      </c>
      <c r="M285" s="17">
        <v>25.0</v>
      </c>
      <c r="N285" s="17" t="s">
        <v>235</v>
      </c>
      <c r="O285" s="17" t="s">
        <v>236</v>
      </c>
      <c r="P285" s="17">
        <v>15.0</v>
      </c>
      <c r="Q285" s="17" t="s">
        <v>166</v>
      </c>
      <c r="R285" s="2"/>
      <c r="S285" s="17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17" t="s">
        <v>22</v>
      </c>
      <c r="L286" s="17" t="s">
        <v>23</v>
      </c>
      <c r="M286" s="17">
        <v>11.0</v>
      </c>
      <c r="N286" s="17" t="s">
        <v>238</v>
      </c>
      <c r="O286" s="17" t="s">
        <v>239</v>
      </c>
      <c r="P286" s="17">
        <v>2.0</v>
      </c>
      <c r="Q286" s="17" t="s">
        <v>102</v>
      </c>
      <c r="R286" s="17"/>
      <c r="S286" s="17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17" t="s">
        <v>240</v>
      </c>
      <c r="L287" s="17" t="s">
        <v>241</v>
      </c>
      <c r="M287" s="17">
        <v>4.0</v>
      </c>
      <c r="N287" s="17" t="s">
        <v>242</v>
      </c>
      <c r="O287" s="17" t="s">
        <v>98</v>
      </c>
      <c r="P287" s="17">
        <v>0.0</v>
      </c>
      <c r="Q287" s="17" t="s">
        <v>36</v>
      </c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17" t="s">
        <v>76</v>
      </c>
      <c r="L288" s="17" t="s">
        <v>77</v>
      </c>
      <c r="M288" s="17">
        <v>4.0</v>
      </c>
      <c r="N288" s="17" t="s">
        <v>243</v>
      </c>
      <c r="O288" s="17" t="s">
        <v>244</v>
      </c>
      <c r="P288" s="17">
        <v>1.0</v>
      </c>
      <c r="Q288" s="17" t="s">
        <v>31</v>
      </c>
      <c r="R288" s="17"/>
      <c r="S288" s="17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17" t="s">
        <v>117</v>
      </c>
      <c r="L289" s="17" t="s">
        <v>118</v>
      </c>
      <c r="M289" s="17">
        <v>4.0</v>
      </c>
      <c r="N289" s="17">
        <v>7104.0</v>
      </c>
      <c r="O289" s="17" t="s">
        <v>245</v>
      </c>
      <c r="P289" s="17">
        <v>0.0</v>
      </c>
      <c r="Q289" s="17" t="s">
        <v>36</v>
      </c>
      <c r="R289" s="17"/>
      <c r="S289" s="17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dataValidations>
    <dataValidation type="custom" allowBlank="1" showDropDown="1" sqref="C2:C246 F2:F246 H2:H24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